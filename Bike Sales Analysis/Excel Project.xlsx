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nime\Downloads\"/>
    </mc:Choice>
  </mc:AlternateContent>
  <xr:revisionPtr revIDLastSave="0" documentId="13_ncr:1_{828BC8E1-0BBE-45D8-9678-EB46F3406F70}" xr6:coauthVersionLast="47" xr6:coauthVersionMax="47" xr10:uidLastSave="{00000000-0000-0000-0000-000000000000}"/>
  <bookViews>
    <workbookView xWindow="-108" yWindow="492" windowWidth="23256" windowHeight="11856" firstSheet="1" activeTab="3" xr2:uid="{00000000-000D-0000-FFFF-FFFF00000000}"/>
  </bookViews>
  <sheets>
    <sheet name="bike_buyers" sheetId="1" r:id="rId1"/>
    <sheet name="working sheet" sheetId="2" r:id="rId2"/>
    <sheet name="Pivot Table" sheetId="6" r:id="rId3"/>
    <sheet name="Dashboard" sheetId="7" r:id="rId4"/>
  </sheets>
  <definedNames>
    <definedName name="_xlnm._FilterDatabase" localSheetId="0" hidden="1">bike_buyers!$A$1:$M$1001</definedName>
    <definedName name="_xlnm._FilterDatabase" localSheetId="1" hidden="1">'working sheet'!$A$1:$N$1027</definedName>
    <definedName name="Slicer_Education">#N/A</definedName>
    <definedName name="Slicer_Gender">#N/A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<sst xmlns="http://schemas.openxmlformats.org/spreadsheetml/2006/main" count="16497" uniqueCount="58">
  <si>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</si>
  <si>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</si>
  <si>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</si>
  <si>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</si>
  <si>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</si>
  <si>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</si>
  <si>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</si>
  <si>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</si>
  <si>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</si>
  <si>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</si>
  <si>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</si>
  <si>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</si>
  <si>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</si>
  <si>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</si>
  <si>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</si>
  <si>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</si>
  <si>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</si>
  <si>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</si>
  <si>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</si>
  <si>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</si>
  <si>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</si>
  <si>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</si>
  <si>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</si>
  <si>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</si>
  <si>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</si>
  <si>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</si>
  <si>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</si>
  <si>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</si>
  <si>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</si>
  <si>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</si>
  <si>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</si>
  <si>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</si>
  <si>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</si>
  <si>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</si>
  <si>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</si>
  <si>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</si>
  <si>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</si>
  <si>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</si>
  <si>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Age Bracket</t>
  </si>
  <si>
    <t>Female</t>
  </si>
  <si>
    <t>Male</t>
  </si>
  <si>
    <t>Row Labels</t>
  </si>
  <si>
    <t>Grand Total</t>
  </si>
  <si>
    <t>Column Labels</t>
  </si>
  <si>
    <t>More Than 10 Miles</t>
  </si>
  <si>
    <t>Middle Age31-54</t>
  </si>
  <si>
    <t>Old 55+</t>
  </si>
  <si>
    <t>Adolescent0-30</t>
  </si>
  <si>
    <t>Count of ID</t>
  </si>
  <si>
    <t>Bike Sales Report</t>
  </si>
  <si>
    <t>Average of Income</t>
  </si>
  <si>
    <t>25-34</t>
  </si>
  <si>
    <t>35-44</t>
  </si>
  <si>
    <t>45-54</t>
  </si>
  <si>
    <t>55-64</t>
  </si>
  <si>
    <t>65-74</t>
  </si>
  <si>
    <t>75-84</t>
  </si>
  <si>
    <t>85-94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</si>
</sst>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8"/>
      <color theme="1"/>
      <name val="Calibri"/>
      <family val="2"/>
      <scheme val="minor"/>
    </font>
    <font>
      <b/>
      <sz val="1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tint="-4.9989318521683403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4" borderId="0" xfId="0" applyFill="1"/>
    <xf numFmtId="0" fontId="20"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Excel.xlsx]Pivot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Bike</a:t>
            </a:r>
            <a:r>
              <a:rPr lang="en-IN" b="1" baseline="0"/>
              <a:t> Purchase Vs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Table'!$C$4:$C$5</c:f>
              <c:strCache>
                <c:ptCount val="1"/>
                <c:pt idx="0">
                  <c:v>No</c:v>
                </c:pt>
              </c:strCache>
            </c:strRef>
          </c:tx>
          <c:spPr>
            <a:solidFill>
              <a:schemeClr val="accent1"/>
            </a:solidFill>
            <a:ln>
              <a:noFill/>
            </a:ln>
            <a:effectLst/>
          </c:spPr>
          <c:invertIfNegative val="0"/>
          <c:cat>
            <c:strRef>
              <c:f>'Pivot Table'!$B$6:$B$9</c:f>
              <c:strCache>
                <c:ptCount val="3"/>
                <c:pt idx="0">
                  <c:v>Adolescent0-30</c:v>
                </c:pt>
                <c:pt idx="1">
                  <c:v>Middle Age31-54</c:v>
                </c:pt>
                <c:pt idx="2">
                  <c:v>Old 55+</c:v>
                </c:pt>
              </c:strCache>
            </c:strRef>
          </c:cat>
          <c:val>
            <c:numRef>
              <c:f>'Pivot Table'!$C$6:$C$9</c:f>
              <c:numCache>
                <c:formatCode>General</c:formatCode>
                <c:ptCount val="3"/>
                <c:pt idx="0">
                  <c:v>71</c:v>
                </c:pt>
                <c:pt idx="1">
                  <c:v>340</c:v>
                </c:pt>
                <c:pt idx="2">
                  <c:v>120</c:v>
                </c:pt>
              </c:numCache>
            </c:numRef>
          </c:val>
          <c:extLst>
            <c:ext xmlns:c16="http://schemas.microsoft.com/office/drawing/2014/chart" uri="{C3380CC4-5D6E-409C-BE32-E72D297353CC}">
              <c16:uniqueId val="{00000000-B49E-48E9-B8FA-3C80582EFF84}"/>
            </c:ext>
          </c:extLst>
        </c:ser>
        <c:ser>
          <c:idx val="1"/>
          <c:order val="1"/>
          <c:tx>
            <c:strRef>
              <c:f>'Pivot Table'!$D$4:$D$5</c:f>
              <c:strCache>
                <c:ptCount val="1"/>
                <c:pt idx="0">
                  <c:v>Yes</c:v>
                </c:pt>
              </c:strCache>
            </c:strRef>
          </c:tx>
          <c:spPr>
            <a:solidFill>
              <a:schemeClr val="accent2"/>
            </a:solidFill>
            <a:ln>
              <a:noFill/>
            </a:ln>
            <a:effectLst/>
          </c:spPr>
          <c:invertIfNegative val="0"/>
          <c:cat>
            <c:strRef>
              <c:f>'Pivot Table'!$B$6:$B$9</c:f>
              <c:strCache>
                <c:ptCount val="3"/>
                <c:pt idx="0">
                  <c:v>Adolescent0-30</c:v>
                </c:pt>
                <c:pt idx="1">
                  <c:v>Middle Age31-54</c:v>
                </c:pt>
                <c:pt idx="2">
                  <c:v>Old 55+</c:v>
                </c:pt>
              </c:strCache>
            </c:strRef>
          </c:cat>
          <c:val>
            <c:numRef>
              <c:f>'Pivot Table'!$D$6:$D$9</c:f>
              <c:numCache>
                <c:formatCode>General</c:formatCode>
                <c:ptCount val="3"/>
                <c:pt idx="0">
                  <c:v>41</c:v>
                </c:pt>
                <c:pt idx="1">
                  <c:v>399</c:v>
                </c:pt>
                <c:pt idx="2">
                  <c:v>55</c:v>
                </c:pt>
              </c:numCache>
            </c:numRef>
          </c:val>
          <c:extLst>
            <c:ext xmlns:c16="http://schemas.microsoft.com/office/drawing/2014/chart" uri="{C3380CC4-5D6E-409C-BE32-E72D297353CC}">
              <c16:uniqueId val="{00000001-B49E-48E9-B8FA-3C80582EFF84}"/>
            </c:ext>
          </c:extLst>
        </c:ser>
        <c:dLbls>
          <c:showLegendKey val="0"/>
          <c:showVal val="0"/>
          <c:showCatName val="0"/>
          <c:showSerName val="0"/>
          <c:showPercent val="0"/>
          <c:showBubbleSize val="0"/>
        </c:dLbls>
        <c:gapWidth val="219"/>
        <c:overlap val="-27"/>
        <c:axId val="1414502352"/>
        <c:axId val="1414508112"/>
      </c:barChart>
      <c:catAx>
        <c:axId val="1414502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08112"/>
        <c:crosses val="autoZero"/>
        <c:auto val="1"/>
        <c:lblAlgn val="ctr"/>
        <c:lblOffset val="100"/>
        <c:noMultiLvlLbl val="0"/>
      </c:catAx>
      <c:valAx>
        <c:axId val="14145081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02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Excel.xlsx]Pivot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Commute</a:t>
            </a:r>
            <a:r>
              <a:rPr lang="en-IN" b="1" baseline="0"/>
              <a:t> Distance vs Bike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Table'!$C$25:$C$26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Table'!$B$27:$B$32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A823-43F6-8820-42404206A516}"/>
            </c:ext>
          </c:extLst>
        </c:ser>
        <c:ser>
          <c:idx val="1"/>
          <c:order val="1"/>
          <c:tx>
            <c:strRef>
              <c:f>'Pivot Table'!$D$25:$D$26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Table'!$B$27:$B$32</c:f>
              <c:strCache>
                <c:ptCount val="5"/>
                <c:pt idx="0">
                  <c:v>0-1 Miles</c:v>
                </c:pt>
                <c:pt idx="1">
                  <c:v>1-2 Miles</c:v>
                </c:pt>
                <c:pt idx="2">
                  <c:v>2-5 Miles</c:v>
                </c:pt>
                <c:pt idx="3">
                  <c:v>5-10 Miles</c:v>
                </c:pt>
                <c:pt idx="4">
                  <c:v>More Than 10 Miles</c:v>
                </c:pt>
              </c:strCache>
            </c:strRef>
          </c:cat>
          <c:val>
            <c:numRef>
              <c:f>'Pivot Table'!$D$27:$D$32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A823-43F6-8820-42404206A516}"/>
            </c:ext>
          </c:extLst>
        </c:ser>
        <c:dLbls>
          <c:showLegendKey val="0"/>
          <c:showVal val="0"/>
          <c:showCatName val="0"/>
          <c:showSerName val="0"/>
          <c:showPercent val="0"/>
          <c:showBubbleSize val="0"/>
        </c:dLbls>
        <c:marker val="1"/>
        <c:smooth val="0"/>
        <c:axId val="1414515792"/>
        <c:axId val="1414516272"/>
      </c:lineChart>
      <c:catAx>
        <c:axId val="141451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16272"/>
        <c:crosses val="autoZero"/>
        <c:auto val="1"/>
        <c:lblAlgn val="ctr"/>
        <c:lblOffset val="100"/>
        <c:noMultiLvlLbl val="0"/>
      </c:catAx>
      <c:valAx>
        <c:axId val="141451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15792"/>
        <c:crosses val="autoZero"/>
        <c:crossBetween val="between"/>
      </c:valAx>
      <c:spPr>
        <a:noFill/>
        <a:ln>
          <a:noFill/>
        </a:ln>
        <a:effectLst/>
      </c:spPr>
    </c:plotArea>
    <c:legend>
      <c:legendPos val="r"/>
      <c:layout>
        <c:manualLayout>
          <c:xMode val="edge"/>
          <c:yMode val="edge"/>
          <c:x val="0.90202340332458431"/>
          <c:y val="0.52414174034697281"/>
          <c:w val="9.797659667541557E-2"/>
          <c:h val="0.172812269434062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Excel.xlsx]Pivot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Income By Occupation</a:t>
            </a:r>
            <a:endParaRPr lang="en-US" b="1"/>
          </a:p>
        </c:rich>
      </c:tx>
      <c:layout>
        <c:manualLayout>
          <c:xMode val="edge"/>
          <c:yMode val="edge"/>
          <c:x val="0.27848200312989047"/>
          <c:y val="9.27661820050271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Table'!$B$43:$B$48</c:f>
              <c:strCache>
                <c:ptCount val="5"/>
                <c:pt idx="0">
                  <c:v>Clerical</c:v>
                </c:pt>
                <c:pt idx="1">
                  <c:v>Management</c:v>
                </c:pt>
                <c:pt idx="2">
                  <c:v>Manual</c:v>
                </c:pt>
                <c:pt idx="3">
                  <c:v>Professional</c:v>
                </c:pt>
                <c:pt idx="4">
                  <c:v>Skilled Manual</c:v>
                </c:pt>
              </c:strCache>
            </c:strRef>
          </c:cat>
          <c:val>
            <c:numRef>
              <c:f>'Pivot Table'!$C$43:$C$48</c:f>
              <c:numCache>
                <c:formatCode>[$$-409]#,##0.00</c:formatCode>
                <c:ptCount val="5"/>
                <c:pt idx="0">
                  <c:v>31229.946524064169</c:v>
                </c:pt>
                <c:pt idx="1">
                  <c:v>86609.19540229885</c:v>
                </c:pt>
                <c:pt idx="2">
                  <c:v>17460.317460317459</c:v>
                </c:pt>
                <c:pt idx="3">
                  <c:v>75571.428571428565</c:v>
                </c:pt>
                <c:pt idx="4">
                  <c:v>51737.451737451738</c:v>
                </c:pt>
              </c:numCache>
            </c:numRef>
          </c:val>
          <c:extLst>
            <c:ext xmlns:c16="http://schemas.microsoft.com/office/drawing/2014/chart" uri="{C3380CC4-5D6E-409C-BE32-E72D297353CC}">
              <c16:uniqueId val="{00000000-0EB7-46C3-8C6F-6A58976BA474}"/>
            </c:ext>
          </c:extLst>
        </c:ser>
        <c:dLbls>
          <c:dLblPos val="outEnd"/>
          <c:showLegendKey val="0"/>
          <c:showVal val="1"/>
          <c:showCatName val="0"/>
          <c:showSerName val="0"/>
          <c:showPercent val="0"/>
          <c:showBubbleSize val="0"/>
        </c:dLbls>
        <c:gapWidth val="182"/>
        <c:axId val="1414523472"/>
        <c:axId val="1414523952"/>
      </c:barChart>
      <c:catAx>
        <c:axId val="141452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23952"/>
        <c:crosses val="autoZero"/>
        <c:auto val="1"/>
        <c:lblAlgn val="ctr"/>
        <c:lblOffset val="100"/>
        <c:noMultiLvlLbl val="0"/>
      </c:catAx>
      <c:valAx>
        <c:axId val="1414523952"/>
        <c:scaling>
          <c:orientation val="minMax"/>
        </c:scaling>
        <c:delete val="0"/>
        <c:axPos val="b"/>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2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Excel.xlsx]Pivot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Table'!$C$58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F9-4AB8-9C0E-6ED0E87041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F9-4AB8-9C0E-6ED0E8704151}"/>
              </c:ext>
            </c:extLst>
          </c:dPt>
          <c:cat>
            <c:strRef>
              <c:f>'Pivot Table'!$B$59:$B$61</c:f>
              <c:strCache>
                <c:ptCount val="2"/>
                <c:pt idx="0">
                  <c:v>Married</c:v>
                </c:pt>
                <c:pt idx="1">
                  <c:v>Single</c:v>
                </c:pt>
              </c:strCache>
            </c:strRef>
          </c:cat>
          <c:val>
            <c:numRef>
              <c:f>'Pivot Table'!$C$59:$C$61</c:f>
              <c:numCache>
                <c:formatCode>General</c:formatCode>
                <c:ptCount val="2"/>
                <c:pt idx="0">
                  <c:v>549</c:v>
                </c:pt>
                <c:pt idx="1">
                  <c:v>477</c:v>
                </c:pt>
              </c:numCache>
            </c:numRef>
          </c:val>
          <c:extLst>
            <c:ext xmlns:c16="http://schemas.microsoft.com/office/drawing/2014/chart" uri="{C3380CC4-5D6E-409C-BE32-E72D297353CC}">
              <c16:uniqueId val="{00000003-BF77-4F14-A78E-CA8626F6226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Excel.xlsx]Pivot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Home Ownership</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Table'!$C$71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35-4768-9E8F-0729BACE45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35-4768-9E8F-0729BACE45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35-4768-9E8F-0729BACE45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35-4768-9E8F-0729BACE45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35-4768-9E8F-0729BACE453C}"/>
              </c:ext>
            </c:extLst>
          </c:dPt>
          <c:cat>
            <c:strRef>
              <c:f>'Pivot Table'!$B$72:$B$77</c:f>
              <c:strCache>
                <c:ptCount val="5"/>
                <c:pt idx="0">
                  <c:v>Bachelors</c:v>
                </c:pt>
                <c:pt idx="1">
                  <c:v>Graduate Degree</c:v>
                </c:pt>
                <c:pt idx="2">
                  <c:v>High School</c:v>
                </c:pt>
                <c:pt idx="3">
                  <c:v>Partial College</c:v>
                </c:pt>
                <c:pt idx="4">
                  <c:v>Partial High School</c:v>
                </c:pt>
              </c:strCache>
            </c:strRef>
          </c:cat>
          <c:val>
            <c:numRef>
              <c:f>'Pivot Table'!$C$72:$C$77</c:f>
              <c:numCache>
                <c:formatCode>General</c:formatCode>
                <c:ptCount val="5"/>
                <c:pt idx="0">
                  <c:v>311</c:v>
                </c:pt>
                <c:pt idx="1">
                  <c:v>175</c:v>
                </c:pt>
                <c:pt idx="2">
                  <c:v>184</c:v>
                </c:pt>
                <c:pt idx="3">
                  <c:v>278</c:v>
                </c:pt>
                <c:pt idx="4">
                  <c:v>78</c:v>
                </c:pt>
              </c:numCache>
            </c:numRef>
          </c:val>
          <c:extLst>
            <c:ext xmlns:c16="http://schemas.microsoft.com/office/drawing/2014/chart" uri="{C3380CC4-5D6E-409C-BE32-E72D297353CC}">
              <c16:uniqueId val="{00000000-91BB-4342-88BF-BEE27B5930F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Excel.xlsx]Pivot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Income By 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Table'!$C$84</c:f>
              <c:strCache>
                <c:ptCount val="1"/>
                <c:pt idx="0">
                  <c:v>Total</c:v>
                </c:pt>
              </c:strCache>
            </c:strRef>
          </c:tx>
          <c:spPr>
            <a:solidFill>
              <a:schemeClr val="accent1"/>
            </a:solidFill>
            <a:ln>
              <a:noFill/>
            </a:ln>
            <a:effectLst/>
          </c:spPr>
          <c:invertIfNegative val="0"/>
          <c:cat>
            <c:strRef>
              <c:f>'Pivot Table'!$B$85:$B$92</c:f>
              <c:strCache>
                <c:ptCount val="7"/>
                <c:pt idx="0">
                  <c:v>25-34</c:v>
                </c:pt>
                <c:pt idx="1">
                  <c:v>35-44</c:v>
                </c:pt>
                <c:pt idx="2">
                  <c:v>45-54</c:v>
                </c:pt>
                <c:pt idx="3">
                  <c:v>55-64</c:v>
                </c:pt>
                <c:pt idx="4">
                  <c:v>65-74</c:v>
                </c:pt>
                <c:pt idx="5">
                  <c:v>75-84</c:v>
                </c:pt>
                <c:pt idx="6">
                  <c:v>85-94</c:v>
                </c:pt>
              </c:strCache>
            </c:strRef>
          </c:cat>
          <c:val>
            <c:numRef>
              <c:f>'Pivot Table'!$C$85:$C$92</c:f>
              <c:numCache>
                <c:formatCode>[$$-409]#,##0.00</c:formatCode>
                <c:ptCount val="7"/>
                <c:pt idx="0">
                  <c:v>41822.222222222219</c:v>
                </c:pt>
                <c:pt idx="1">
                  <c:v>58387.096774193546</c:v>
                </c:pt>
                <c:pt idx="2">
                  <c:v>63094.339622641506</c:v>
                </c:pt>
                <c:pt idx="3">
                  <c:v>61985.294117647056</c:v>
                </c:pt>
                <c:pt idx="4">
                  <c:v>54545.454545454544</c:v>
                </c:pt>
                <c:pt idx="5">
                  <c:v>53333.333333333336</c:v>
                </c:pt>
                <c:pt idx="6">
                  <c:v>40000</c:v>
                </c:pt>
              </c:numCache>
            </c:numRef>
          </c:val>
          <c:extLst>
            <c:ext xmlns:c16="http://schemas.microsoft.com/office/drawing/2014/chart" uri="{C3380CC4-5D6E-409C-BE32-E72D297353CC}">
              <c16:uniqueId val="{00000000-77BA-4DE1-9686-BE42AF2DF741}"/>
            </c:ext>
          </c:extLst>
        </c:ser>
        <c:dLbls>
          <c:showLegendKey val="0"/>
          <c:showVal val="0"/>
          <c:showCatName val="0"/>
          <c:showSerName val="0"/>
          <c:showPercent val="0"/>
          <c:showBubbleSize val="0"/>
        </c:dLbls>
        <c:gapWidth val="219"/>
        <c:axId val="1465571376"/>
        <c:axId val="1465564176"/>
      </c:barChart>
      <c:catAx>
        <c:axId val="146557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64176"/>
        <c:crosses val="autoZero"/>
        <c:auto val="1"/>
        <c:lblAlgn val="ctr"/>
        <c:lblOffset val="100"/>
        <c:noMultiLvlLbl val="0"/>
      </c:catAx>
      <c:valAx>
        <c:axId val="1465564176"/>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713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Excel.xlsx]Pivot Table!PivotTable8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Bike</a:t>
            </a:r>
            <a:r>
              <a:rPr lang="en-IN" b="1" baseline="0"/>
              <a:t> Purchase Vs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43603278640445"/>
          <c:y val="0.18063275627131975"/>
          <c:w val="0.80159562456927524"/>
          <c:h val="0.50841175340887268"/>
        </c:manualLayout>
      </c:layout>
      <c:barChart>
        <c:barDir val="col"/>
        <c:grouping val="clustered"/>
        <c:varyColors val="0"/>
        <c:ser>
          <c:idx val="0"/>
          <c:order val="0"/>
          <c:tx>
            <c:strRef>
              <c:f>'Pivot Table'!$C$4:$C$5</c:f>
              <c:strCache>
                <c:ptCount val="1"/>
                <c:pt idx="0">
                  <c:v>No</c:v>
                </c:pt>
              </c:strCache>
            </c:strRef>
          </c:tx>
          <c:spPr>
            <a:solidFill>
              <a:schemeClr val="accent1"/>
            </a:solidFill>
            <a:ln>
              <a:noFill/>
            </a:ln>
            <a:effectLst/>
          </c:spPr>
          <c:invertIfNegative val="0"/>
          <c:cat>
            <c:strRef>
              <c:f>'Pivot Table'!$B$6:$B$9</c:f>
              <c:strCache>
                <c:ptCount val="3"/>
                <c:pt idx="0">
                  <c:v>Adolescent0-30</c:v>
                </c:pt>
                <c:pt idx="1">
                  <c:v>Middle Age31-54</c:v>
                </c:pt>
                <c:pt idx="2">
                  <c:v>Old 55+</c:v>
                </c:pt>
              </c:strCache>
            </c:strRef>
          </c:cat>
          <c:val>
            <c:numRef>
              <c:f>'Pivot Table'!$C$6:$C$9</c:f>
              <c:numCache>
                <c:formatCode>General</c:formatCode>
                <c:ptCount val="3"/>
                <c:pt idx="0">
                  <c:v>71</c:v>
                </c:pt>
                <c:pt idx="1">
                  <c:v>340</c:v>
                </c:pt>
                <c:pt idx="2">
                  <c:v>120</c:v>
                </c:pt>
              </c:numCache>
            </c:numRef>
          </c:val>
          <c:extLst>
            <c:ext xmlns:c16="http://schemas.microsoft.com/office/drawing/2014/chart" uri="{C3380CC4-5D6E-409C-BE32-E72D297353CC}">
              <c16:uniqueId val="{00000000-5F28-4E4D-BD77-993676477864}"/>
            </c:ext>
          </c:extLst>
        </c:ser>
        <c:ser>
          <c:idx val="1"/>
          <c:order val="1"/>
          <c:tx>
            <c:strRef>
              <c:f>'Pivot Table'!$D$4:$D$5</c:f>
              <c:strCache>
                <c:ptCount val="1"/>
                <c:pt idx="0">
                  <c:v>Yes</c:v>
                </c:pt>
              </c:strCache>
            </c:strRef>
          </c:tx>
          <c:spPr>
            <a:solidFill>
              <a:schemeClr val="accent2"/>
            </a:solidFill>
            <a:ln>
              <a:noFill/>
            </a:ln>
            <a:effectLst/>
          </c:spPr>
          <c:invertIfNegative val="0"/>
          <c:cat>
            <c:strRef>
              <c:f>'Pivot Table'!$B$6:$B$9</c:f>
              <c:strCache>
                <c:ptCount val="3"/>
                <c:pt idx="0">
                  <c:v>Adolescent0-30</c:v>
                </c:pt>
                <c:pt idx="1">
                  <c:v>Middle Age31-54</c:v>
                </c:pt>
                <c:pt idx="2">
                  <c:v>Old 55+</c:v>
                </c:pt>
              </c:strCache>
            </c:strRef>
          </c:cat>
          <c:val>
            <c:numRef>
              <c:f>'Pivot Table'!$D$6:$D$9</c:f>
              <c:numCache>
                <c:formatCode>General</c:formatCode>
                <c:ptCount val="3"/>
                <c:pt idx="0">
                  <c:v>41</c:v>
                </c:pt>
                <c:pt idx="1">
                  <c:v>399</c:v>
                </c:pt>
                <c:pt idx="2">
                  <c:v>55</c:v>
                </c:pt>
              </c:numCache>
            </c:numRef>
          </c:val>
          <c:extLst>
            <c:ext xmlns:c16="http://schemas.microsoft.com/office/drawing/2014/chart" uri="{C3380CC4-5D6E-409C-BE32-E72D297353CC}">
              <c16:uniqueId val="{00000001-5F28-4E4D-BD77-993676477864}"/>
            </c:ext>
          </c:extLst>
        </c:ser>
        <c:dLbls>
          <c:showLegendKey val="0"/>
          <c:showVal val="0"/>
          <c:showCatName val="0"/>
          <c:showSerName val="0"/>
          <c:showPercent val="0"/>
          <c:showBubbleSize val="0"/>
        </c:dLbls>
        <c:gapWidth val="219"/>
        <c:overlap val="-27"/>
        <c:axId val="1414502352"/>
        <c:axId val="1414508112"/>
      </c:barChart>
      <c:catAx>
        <c:axId val="1414502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08112"/>
        <c:crosses val="autoZero"/>
        <c:auto val="1"/>
        <c:lblAlgn val="ctr"/>
        <c:lblOffset val="100"/>
        <c:noMultiLvlLbl val="0"/>
      </c:catAx>
      <c:valAx>
        <c:axId val="14145081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02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Excel.xlsx]Pivot Table!PivotTable10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Income By Occupation</a:t>
            </a:r>
            <a:endParaRPr lang="en-US" b="1"/>
          </a:p>
        </c:rich>
      </c:tx>
      <c:layout>
        <c:manualLayout>
          <c:xMode val="edge"/>
          <c:yMode val="edge"/>
          <c:x val="0.27848200312989047"/>
          <c:y val="9.27661820050271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Table'!$B$43:$B$48</c:f>
              <c:strCache>
                <c:ptCount val="5"/>
                <c:pt idx="0">
                  <c:v>Clerical</c:v>
                </c:pt>
                <c:pt idx="1">
                  <c:v>Management</c:v>
                </c:pt>
                <c:pt idx="2">
                  <c:v>Manual</c:v>
                </c:pt>
                <c:pt idx="3">
                  <c:v>Professional</c:v>
                </c:pt>
                <c:pt idx="4">
                  <c:v>Skilled Manual</c:v>
                </c:pt>
              </c:strCache>
            </c:strRef>
          </c:cat>
          <c:val>
            <c:numRef>
              <c:f>'Pivot Table'!$C$43:$C$48</c:f>
              <c:numCache>
                <c:formatCode>[$$-409]#,##0.00</c:formatCode>
                <c:ptCount val="5"/>
                <c:pt idx="0">
                  <c:v>31229.946524064169</c:v>
                </c:pt>
                <c:pt idx="1">
                  <c:v>86609.19540229885</c:v>
                </c:pt>
                <c:pt idx="2">
                  <c:v>17460.317460317459</c:v>
                </c:pt>
                <c:pt idx="3">
                  <c:v>75571.428571428565</c:v>
                </c:pt>
                <c:pt idx="4">
                  <c:v>51737.451737451738</c:v>
                </c:pt>
              </c:numCache>
            </c:numRef>
          </c:val>
          <c:extLst>
            <c:ext xmlns:c16="http://schemas.microsoft.com/office/drawing/2014/chart" uri="{C3380CC4-5D6E-409C-BE32-E72D297353CC}">
              <c16:uniqueId val="{00000000-69DE-4315-BBF4-A61BC31A2088}"/>
            </c:ext>
          </c:extLst>
        </c:ser>
        <c:dLbls>
          <c:dLblPos val="outEnd"/>
          <c:showLegendKey val="0"/>
          <c:showVal val="1"/>
          <c:showCatName val="0"/>
          <c:showSerName val="0"/>
          <c:showPercent val="0"/>
          <c:showBubbleSize val="0"/>
        </c:dLbls>
        <c:gapWidth val="182"/>
        <c:axId val="1414523472"/>
        <c:axId val="1414523952"/>
      </c:barChart>
      <c:catAx>
        <c:axId val="14145234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23952"/>
        <c:crosses val="autoZero"/>
        <c:auto val="1"/>
        <c:lblAlgn val="ctr"/>
        <c:lblOffset val="100"/>
        <c:noMultiLvlLbl val="0"/>
      </c:catAx>
      <c:valAx>
        <c:axId val="1414523952"/>
        <c:scaling>
          <c:orientation val="minMax"/>
        </c:scaling>
        <c:delete val="1"/>
        <c:axPos val="b"/>
        <c:numFmt formatCode="[$$-409]#,##0.00" sourceLinked="1"/>
        <c:majorTickMark val="out"/>
        <c:minorTickMark val="none"/>
        <c:tickLblPos val="nextTo"/>
        <c:crossAx val="141452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Excel.xlsx]Pivot Table!PivotTable9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Commute</a:t>
            </a:r>
            <a:r>
              <a:rPr lang="en-IN" b="1" baseline="0"/>
              <a:t> Distance vs Bike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Table'!$C$25:$C$26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Table'!$B$27:$B$32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56D9-425A-8CAD-EEA663420D67}"/>
            </c:ext>
          </c:extLst>
        </c:ser>
        <c:ser>
          <c:idx val="1"/>
          <c:order val="1"/>
          <c:tx>
            <c:strRef>
              <c:f>'Pivot Table'!$D$25:$D$26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Table'!$B$27:$B$32</c:f>
              <c:strCache>
                <c:ptCount val="5"/>
                <c:pt idx="0">
                  <c:v>0-1 Miles</c:v>
                </c:pt>
                <c:pt idx="1">
                  <c:v>1-2 Miles</c:v>
                </c:pt>
                <c:pt idx="2">
                  <c:v>2-5 Miles</c:v>
                </c:pt>
                <c:pt idx="3">
                  <c:v>5-10 Miles</c:v>
                </c:pt>
                <c:pt idx="4">
                  <c:v>More Than 10 Miles</c:v>
                </c:pt>
              </c:strCache>
            </c:strRef>
          </c:cat>
          <c:val>
            <c:numRef>
              <c:f>'Pivot Table'!$D$27:$D$32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56D9-425A-8CAD-EEA663420D67}"/>
            </c:ext>
          </c:extLst>
        </c:ser>
        <c:dLbls>
          <c:showLegendKey val="0"/>
          <c:showVal val="0"/>
          <c:showCatName val="0"/>
          <c:showSerName val="0"/>
          <c:showPercent val="0"/>
          <c:showBubbleSize val="0"/>
        </c:dLbls>
        <c:marker val="1"/>
        <c:smooth val="0"/>
        <c:axId val="1414515792"/>
        <c:axId val="1414516272"/>
      </c:lineChart>
      <c:catAx>
        <c:axId val="141451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16272"/>
        <c:crosses val="autoZero"/>
        <c:auto val="1"/>
        <c:lblAlgn val="ctr"/>
        <c:lblOffset val="100"/>
        <c:noMultiLvlLbl val="0"/>
      </c:catAx>
      <c:valAx>
        <c:axId val="141451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15792"/>
        <c:crosses val="autoZero"/>
        <c:crossBetween val="between"/>
      </c:valAx>
      <c:spPr>
        <a:noFill/>
        <a:ln>
          <a:noFill/>
        </a:ln>
        <a:effectLst/>
      </c:spPr>
    </c:plotArea>
    <c:legend>
      <c:legendPos val="r"/>
      <c:layout>
        <c:manualLayout>
          <c:xMode val="edge"/>
          <c:yMode val="edge"/>
          <c:x val="0.90202340332458431"/>
          <c:y val="0.52414174034697281"/>
          <c:w val="9.797659667541557E-2"/>
          <c:h val="0.172812269434062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Excel.xlsx]Pivot Table!PivotTable11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 Table'!$C$58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87-4039-B12D-ECC3312B71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87-4039-B12D-ECC3312B71D9}"/>
              </c:ext>
            </c:extLst>
          </c:dPt>
          <c:cat>
            <c:strRef>
              <c:f>'Pivot Table'!$B$59:$B$61</c:f>
              <c:strCache>
                <c:ptCount val="2"/>
                <c:pt idx="0">
                  <c:v>Married</c:v>
                </c:pt>
                <c:pt idx="1">
                  <c:v>Single</c:v>
                </c:pt>
              </c:strCache>
            </c:strRef>
          </c:cat>
          <c:val>
            <c:numRef>
              <c:f>'Pivot Table'!$C$59:$C$61</c:f>
              <c:numCache>
                <c:formatCode>General</c:formatCode>
                <c:ptCount val="2"/>
                <c:pt idx="0">
                  <c:v>549</c:v>
                </c:pt>
                <c:pt idx="1">
                  <c:v>477</c:v>
                </c:pt>
              </c:numCache>
            </c:numRef>
          </c:val>
          <c:extLst>
            <c:ext xmlns:c16="http://schemas.microsoft.com/office/drawing/2014/chart" uri="{C3380CC4-5D6E-409C-BE32-E72D297353CC}">
              <c16:uniqueId val="{00000006-4627-4C17-B795-A7DA06A6524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Excel.xlsx]Pivot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Home Ownership</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Table'!$C$71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AD-4FD5-ADC4-9147A87E0C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AD-4FD5-ADC4-9147A87E0C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AD-4FD5-ADC4-9147A87E0C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AD-4FD5-ADC4-9147A87E0CE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AD-4FD5-ADC4-9147A87E0CE0}"/>
              </c:ext>
            </c:extLst>
          </c:dPt>
          <c:cat>
            <c:strRef>
              <c:f>'Pivot Table'!$B$72:$B$77</c:f>
              <c:strCache>
                <c:ptCount val="5"/>
                <c:pt idx="0">
                  <c:v>Bachelors</c:v>
                </c:pt>
                <c:pt idx="1">
                  <c:v>Graduate Degree</c:v>
                </c:pt>
                <c:pt idx="2">
                  <c:v>High School</c:v>
                </c:pt>
                <c:pt idx="3">
                  <c:v>Partial College</c:v>
                </c:pt>
                <c:pt idx="4">
                  <c:v>Partial High School</c:v>
                </c:pt>
              </c:strCache>
            </c:strRef>
          </c:cat>
          <c:val>
            <c:numRef>
              <c:f>'Pivot Table'!$C$72:$C$77</c:f>
              <c:numCache>
                <c:formatCode>General</c:formatCode>
                <c:ptCount val="5"/>
                <c:pt idx="0">
                  <c:v>311</c:v>
                </c:pt>
                <c:pt idx="1">
                  <c:v>175</c:v>
                </c:pt>
                <c:pt idx="2">
                  <c:v>184</c:v>
                </c:pt>
                <c:pt idx="3">
                  <c:v>278</c:v>
                </c:pt>
                <c:pt idx="4">
                  <c:v>78</c:v>
                </c:pt>
              </c:numCache>
            </c:numRef>
          </c:val>
          <c:extLst>
            <c:ext xmlns:c16="http://schemas.microsoft.com/office/drawing/2014/chart" uri="{C3380CC4-5D6E-409C-BE32-E72D297353CC}">
              <c16:uniqueId val="{0000000A-3DAD-4FD5-ADC4-9147A87E0C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Excel.xlsx]Pivot Table!PivotTable13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Income By 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Table'!$C$84</c:f>
              <c:strCache>
                <c:ptCount val="1"/>
                <c:pt idx="0">
                  <c:v>Total</c:v>
                </c:pt>
              </c:strCache>
            </c:strRef>
          </c:tx>
          <c:spPr>
            <a:solidFill>
              <a:schemeClr val="accent1"/>
            </a:solidFill>
            <a:ln>
              <a:noFill/>
            </a:ln>
            <a:effectLst/>
          </c:spPr>
          <c:invertIfNegative val="0"/>
          <c:cat>
            <c:strRef>
              <c:f>'Pivot Table'!$B$85:$B$92</c:f>
              <c:strCache>
                <c:ptCount val="7"/>
                <c:pt idx="0">
                  <c:v>25-34</c:v>
                </c:pt>
                <c:pt idx="1">
                  <c:v>35-44</c:v>
                </c:pt>
                <c:pt idx="2">
                  <c:v>45-54</c:v>
                </c:pt>
                <c:pt idx="3">
                  <c:v>55-64</c:v>
                </c:pt>
                <c:pt idx="4">
                  <c:v>65-74</c:v>
                </c:pt>
                <c:pt idx="5">
                  <c:v>75-84</c:v>
                </c:pt>
                <c:pt idx="6">
                  <c:v>85-94</c:v>
                </c:pt>
              </c:strCache>
            </c:strRef>
          </c:cat>
          <c:val>
            <c:numRef>
              <c:f>'Pivot Table'!$C$85:$C$92</c:f>
              <c:numCache>
                <c:formatCode>[$$-409]#,##0.00</c:formatCode>
                <c:ptCount val="7"/>
                <c:pt idx="0">
                  <c:v>41822.222222222219</c:v>
                </c:pt>
                <c:pt idx="1">
                  <c:v>58387.096774193546</c:v>
                </c:pt>
                <c:pt idx="2">
                  <c:v>63094.339622641506</c:v>
                </c:pt>
                <c:pt idx="3">
                  <c:v>61985.294117647056</c:v>
                </c:pt>
                <c:pt idx="4">
                  <c:v>54545.454545454544</c:v>
                </c:pt>
                <c:pt idx="5">
                  <c:v>53333.333333333336</c:v>
                </c:pt>
                <c:pt idx="6">
                  <c:v>40000</c:v>
                </c:pt>
              </c:numCache>
            </c:numRef>
          </c:val>
          <c:extLst>
            <c:ext xmlns:c16="http://schemas.microsoft.com/office/drawing/2014/chart" uri="{C3380CC4-5D6E-409C-BE32-E72D297353CC}">
              <c16:uniqueId val="{00000000-6977-403E-A7F8-C5DB521F8872}"/>
            </c:ext>
          </c:extLst>
        </c:ser>
        <c:dLbls>
          <c:showLegendKey val="0"/>
          <c:showVal val="0"/>
          <c:showCatName val="0"/>
          <c:showSerName val="0"/>
          <c:showPercent val="0"/>
          <c:showBubbleSize val="0"/>
        </c:dLbls>
        <c:gapWidth val="219"/>
        <c:axId val="1465571376"/>
        <c:axId val="1465564176"/>
      </c:barChart>
      <c:catAx>
        <c:axId val="146557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64176"/>
        <c:crosses val="autoZero"/>
        <c:auto val="1"/>
        <c:lblAlgn val="ctr"/>
        <c:lblOffset val="100"/>
        <c:noMultiLvlLbl val="0"/>
      </c:catAx>
      <c:valAx>
        <c:axId val="1465564176"/>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713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403860</xdr:colOff>
      <xdr:row>1</xdr:row>
      <xdr:rowOff>148590</xdr:rowOff>
    </xdr:from>
    <xdr:to>
      <xdr:col>11</xdr:col>
      <xdr:colOff>320040</xdr:colOff>
      <xdr:row>14</xdr:row>
      <xdr:rowOff>129540</xdr:rowOff>
    </xdr:to>
    <xdr:graphicFrame macro="">
      <xdr:nvGraphicFramePr>
        <xdr:cNvPr id="2" name="Chart 1">
          <a:extLst>
            <a:ext uri="{FF2B5EF4-FFF2-40B4-BE49-F238E27FC236}">
              <a16:creationId xmlns:a16="http://schemas.microsoft.com/office/drawing/2014/main" id="{06F409B0-EF5A-60D3-5E6B-F44A68348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548640</xdr:colOff>
      <xdr:row>20</xdr:row>
      <xdr:rowOff>95250</xdr:rowOff>
    </xdr:from>
    <xdr:to>
      <xdr:col>13</xdr:col>
      <xdr:colOff>243840</xdr:colOff>
      <xdr:row>34</xdr:row>
      <xdr:rowOff>15240</xdr:rowOff>
    </xdr:to>
    <xdr:graphicFrame macro="">
      <xdr:nvGraphicFramePr>
        <xdr:cNvPr id="3" name="Chart 2">
          <a:extLst>
            <a:ext uri="{FF2B5EF4-FFF2-40B4-BE49-F238E27FC236}">
              <a16:creationId xmlns:a16="http://schemas.microsoft.com/office/drawing/2014/main" id="{EF445B8C-1A66-7B3F-971E-1E9F8C641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53340</xdr:colOff>
      <xdr:row>37</xdr:row>
      <xdr:rowOff>171450</xdr:rowOff>
    </xdr:from>
    <xdr:to>
      <xdr:col>11</xdr:col>
      <xdr:colOff>525780</xdr:colOff>
      <xdr:row>49</xdr:row>
      <xdr:rowOff>137160</xdr:rowOff>
    </xdr:to>
    <xdr:graphicFrame macro="">
      <xdr:nvGraphicFramePr>
        <xdr:cNvPr id="4" name="Chart 3">
          <a:extLst>
            <a:ext uri="{FF2B5EF4-FFF2-40B4-BE49-F238E27FC236}">
              <a16:creationId xmlns:a16="http://schemas.microsoft.com/office/drawing/2014/main" id="{7E18568C-7788-C2AB-FDD2-15A9029D4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83820</xdr:colOff>
      <xdr:row>53</xdr:row>
      <xdr:rowOff>106680</xdr:rowOff>
    </xdr:from>
    <xdr:to>
      <xdr:col>8</xdr:col>
      <xdr:colOff>213360</xdr:colOff>
      <xdr:row>64</xdr:row>
      <xdr:rowOff>175260</xdr:rowOff>
    </xdr:to>
    <xdr:graphicFrame macro="">
      <xdr:nvGraphicFramePr>
        <xdr:cNvPr id="5" name="Chart 4">
          <a:extLst>
            <a:ext uri="{FF2B5EF4-FFF2-40B4-BE49-F238E27FC236}">
              <a16:creationId xmlns:a16="http://schemas.microsoft.com/office/drawing/2014/main" id="{F8C53A0A-5421-F065-8E24-B82C17260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464820</xdr:colOff>
      <xdr:row>65</xdr:row>
      <xdr:rowOff>140970</xdr:rowOff>
    </xdr:from>
    <xdr:to>
      <xdr:col>9</xdr:col>
      <xdr:colOff>182880</xdr:colOff>
      <xdr:row>77</xdr:row>
      <xdr:rowOff>99060</xdr:rowOff>
    </xdr:to>
    <xdr:graphicFrame macro="">
      <xdr:nvGraphicFramePr>
        <xdr:cNvPr id="6" name="Chart 5">
          <a:extLst>
            <a:ext uri="{FF2B5EF4-FFF2-40B4-BE49-F238E27FC236}">
              <a16:creationId xmlns:a16="http://schemas.microsoft.com/office/drawing/2014/main" id="{3B0DAF41-6C8D-B19F-A1B8-4AA82D211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266700</xdr:colOff>
      <xdr:row>82</xdr:row>
      <xdr:rowOff>167640</xdr:rowOff>
    </xdr:from>
    <xdr:to>
      <xdr:col>12</xdr:col>
      <xdr:colOff>487680</xdr:colOff>
      <xdr:row>95</xdr:row>
      <xdr:rowOff>45720</xdr:rowOff>
    </xdr:to>
    <xdr:graphicFrame macro="">
      <xdr:nvGraphicFramePr>
        <xdr:cNvPr id="7" name="Chart 6">
          <a:extLst>
            <a:ext uri="{FF2B5EF4-FFF2-40B4-BE49-F238E27FC236}">
              <a16:creationId xmlns:a16="http://schemas.microsoft.com/office/drawing/2014/main" id="{BE8FA151-84E7-A68E-9CF9-ACFED05D8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1</xdr:row>
      <xdr:rowOff>68580</xdr:rowOff>
    </xdr:from>
    <xdr:to>
      <xdr:col>10</xdr:col>
      <xdr:colOff>556260</xdr:colOff>
      <xdr:row>11</xdr:row>
      <xdr:rowOff>137160</xdr:rowOff>
    </xdr:to>
    <xdr:graphicFrame macro="">
      <xdr:nvGraphicFramePr>
        <xdr:cNvPr id="2" name="Chart 1">
          <a:extLst>
            <a:ext uri="{FF2B5EF4-FFF2-40B4-BE49-F238E27FC236}">
              <a16:creationId xmlns:a16="http://schemas.microsoft.com/office/drawing/2014/main" id="{69D6768A-F845-401A-9869-E601DDCFF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76200</xdr:colOff>
      <xdr:row>1</xdr:row>
      <xdr:rowOff>76200</xdr:rowOff>
    </xdr:from>
    <xdr:to>
      <xdr:col>19</xdr:col>
      <xdr:colOff>15240</xdr:colOff>
      <xdr:row>11</xdr:row>
      <xdr:rowOff>137160</xdr:rowOff>
    </xdr:to>
    <xdr:graphicFrame macro="">
      <xdr:nvGraphicFramePr>
        <xdr:cNvPr id="3" name="Chart 2">
          <a:extLst>
            <a:ext uri="{FF2B5EF4-FFF2-40B4-BE49-F238E27FC236}">
              <a16:creationId xmlns:a16="http://schemas.microsoft.com/office/drawing/2014/main" id="{725A50EA-240C-4FA7-99DA-7EC99131C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83820</xdr:colOff>
      <xdr:row>12</xdr:row>
      <xdr:rowOff>45720</xdr:rowOff>
    </xdr:from>
    <xdr:to>
      <xdr:col>19</xdr:col>
      <xdr:colOff>22860</xdr:colOff>
      <xdr:row>23</xdr:row>
      <xdr:rowOff>121920</xdr:rowOff>
    </xdr:to>
    <xdr:graphicFrame macro="">
      <xdr:nvGraphicFramePr>
        <xdr:cNvPr id="4" name="Chart 3">
          <a:extLst>
            <a:ext uri="{FF2B5EF4-FFF2-40B4-BE49-F238E27FC236}">
              <a16:creationId xmlns:a16="http://schemas.microsoft.com/office/drawing/2014/main" id="{9B9F9835-B3E7-48AB-8CF1-CE0E57273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182880</xdr:colOff>
      <xdr:row>1</xdr:row>
      <xdr:rowOff>83820</xdr:rowOff>
    </xdr:from>
    <xdr:to>
      <xdr:col>22</xdr:col>
      <xdr:colOff>468243</xdr:colOff>
      <xdr:row>11</xdr:row>
      <xdr:rowOff>129540</xdr:rowOff>
    </xdr:to>
    <xdr:graphicFrame macro="">
      <xdr:nvGraphicFramePr>
        <xdr:cNvPr id="8" name="Chart 7">
          <a:extLst>
            <a:ext uri="{FF2B5EF4-FFF2-40B4-BE49-F238E27FC236}">
              <a16:creationId xmlns:a16="http://schemas.microsoft.com/office/drawing/2014/main" id="{49924253-4DE7-45FD-857A-BCE2B9E1A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198120</xdr:colOff>
      <xdr:row>12</xdr:row>
      <xdr:rowOff>45720</xdr:rowOff>
    </xdr:from>
    <xdr:to>
      <xdr:col>22</xdr:col>
      <xdr:colOff>495300</xdr:colOff>
      <xdr:row>23</xdr:row>
      <xdr:rowOff>121920</xdr:rowOff>
    </xdr:to>
    <xdr:graphicFrame macro="">
      <xdr:nvGraphicFramePr>
        <xdr:cNvPr id="9" name="Chart 8">
          <a:extLst>
            <a:ext uri="{FF2B5EF4-FFF2-40B4-BE49-F238E27FC236}">
              <a16:creationId xmlns:a16="http://schemas.microsoft.com/office/drawing/2014/main" id="{7F535185-41F3-489F-9EDF-4D748CD5B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335280</xdr:colOff>
      <xdr:row>12</xdr:row>
      <xdr:rowOff>22860</xdr:rowOff>
    </xdr:from>
    <xdr:to>
      <xdr:col>10</xdr:col>
      <xdr:colOff>556260</xdr:colOff>
      <xdr:row>23</xdr:row>
      <xdr:rowOff>121920</xdr:rowOff>
    </xdr:to>
    <xdr:graphicFrame macro="">
      <xdr:nvGraphicFramePr>
        <xdr:cNvPr id="10" name="Chart 9">
          <a:extLst>
            <a:ext uri="{FF2B5EF4-FFF2-40B4-BE49-F238E27FC236}">
              <a16:creationId xmlns:a16="http://schemas.microsoft.com/office/drawing/2014/main" id="{FBDE5A7E-7ACC-45D4-AD25-4449759AE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167640</xdr:colOff>
      <xdr:row>1</xdr:row>
      <xdr:rowOff>76201</xdr:rowOff>
    </xdr:from>
    <xdr:to>
      <xdr:col>3</xdr:col>
      <xdr:colOff>167640</xdr:colOff>
      <xdr:row>7</xdr:row>
      <xdr:rowOff>83821</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61A9435A-1DFA-FF9E-0266-1BD1734BDB4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7640" y="381001"/>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7</xdr:row>
      <xdr:rowOff>121921</xdr:rowOff>
    </xdr:from>
    <xdr:to>
      <xdr:col>3</xdr:col>
      <xdr:colOff>175260</xdr:colOff>
      <xdr:row>14</xdr:row>
      <xdr:rowOff>30481</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305AF476-A9A2-9076-4A3E-D9E3F0AA02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5260" y="152400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14</xdr:row>
      <xdr:rowOff>76201</xdr:rowOff>
    </xdr:from>
    <xdr:to>
      <xdr:col>3</xdr:col>
      <xdr:colOff>175260</xdr:colOff>
      <xdr:row>23</xdr:row>
      <xdr:rowOff>121920</xdr:rowOff>
    </xdr:to>
    <mc:AlternateContent xmlns:mc="http://schemas.openxmlformats.org/markup-compatibility/2006">
      <mc:Choice xmlns:a14="http://schemas.microsoft.com/office/drawing/2010/main" Requires="a14">
        <xdr:graphicFrame macro="">
          <xdr:nvGraphicFramePr>
            <xdr:cNvPr id="13" name="Education">
              <a:extLst>
                <a:ext uri="{FF2B5EF4-FFF2-40B4-BE49-F238E27FC236}">
                  <a16:creationId xmlns:a16="http://schemas.microsoft.com/office/drawing/2014/main" id="{629C6833-4448-155B-AC82-CF794A2CEBB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75260" y="2758441"/>
              <a:ext cx="1828800" cy="1691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MESH KUMAR" refreshedDate="46079.377560995374" createdVersion="8" refreshedVersion="8" minRefreshableVersion="3" recordCount="1026" xr:uid="{FE770808-461E-4058-8697-1E1626048E75}">
  <cacheSource type="worksheet">
    <worksheetSource ref="A1:N1027"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startNum="25" endNum="89" groupInterval="10"/>
        <groupItems count="9">
          <s v="&lt;25"/>
          <s v="25-34"/>
          <s v="35-44"/>
          <s v="45-54"/>
          <s v="55-64"/>
          <s v="65-74"/>
          <s v="75-84"/>
          <s v="85-94"/>
          <s v="&gt;95"/>
        </groupItems>
      </fieldGroup>
    </cacheField>
    <cacheField name="Age Bracket" numFmtId="0">
      <sharedItems count="7">
        <s v="Middle Age31-54"/>
        <s v="Old 55+"/>
        <s v="Adolescent0-30"/>
        <s v="Middle Age" u="1"/>
        <s v="Old" u="1"/>
        <s v="Invali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561633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x v="0"/>
    <x v="0"/>
    <x v="0"/>
    <n v="40000"/>
    <x v="0"/>
    <x v="0"/>
    <x v="0"/>
    <x v="0"/>
    <n v="0"/>
    <x v="0"/>
    <x v="0"/>
    <x v="0"/>
    <x v="0"/>
    <x v="0"/>
  </r>
  <r>
    <x v="1"/>
    <x v="0"/>
    <x v="1"/>
    <n v="30000"/>
    <x v="1"/>
    <x v="1"/>
    <x v="1"/>
    <x v="0"/>
    <n v="1"/>
    <x v="0"/>
    <x v="0"/>
    <x v="1"/>
    <x v="0"/>
    <x v="0"/>
  </r>
  <r>
    <x v="2"/>
    <x v="0"/>
    <x v="1"/>
    <n v="80000"/>
    <x v="2"/>
    <x v="1"/>
    <x v="2"/>
    <x v="1"/>
    <n v="2"/>
    <x v="1"/>
    <x v="0"/>
    <x v="2"/>
    <x v="1"/>
    <x v="0"/>
  </r>
  <r>
    <x v="3"/>
    <x v="1"/>
    <x v="1"/>
    <n v="70000"/>
    <x v="3"/>
    <x v="0"/>
    <x v="2"/>
    <x v="0"/>
    <n v="1"/>
    <x v="2"/>
    <x v="1"/>
    <x v="3"/>
    <x v="0"/>
    <x v="1"/>
  </r>
  <r>
    <x v="4"/>
    <x v="1"/>
    <x v="1"/>
    <n v="30000"/>
    <x v="3"/>
    <x v="0"/>
    <x v="1"/>
    <x v="1"/>
    <n v="0"/>
    <x v="0"/>
    <x v="0"/>
    <x v="4"/>
    <x v="0"/>
    <x v="1"/>
  </r>
  <r>
    <x v="5"/>
    <x v="0"/>
    <x v="0"/>
    <n v="10000"/>
    <x v="4"/>
    <x v="1"/>
    <x v="3"/>
    <x v="0"/>
    <n v="0"/>
    <x v="3"/>
    <x v="0"/>
    <x v="5"/>
    <x v="0"/>
    <x v="0"/>
  </r>
  <r>
    <x v="6"/>
    <x v="1"/>
    <x v="1"/>
    <n v="160000"/>
    <x v="4"/>
    <x v="2"/>
    <x v="4"/>
    <x v="0"/>
    <n v="4"/>
    <x v="0"/>
    <x v="1"/>
    <x v="6"/>
    <x v="0"/>
    <x v="1"/>
  </r>
  <r>
    <x v="7"/>
    <x v="0"/>
    <x v="1"/>
    <n v="40000"/>
    <x v="0"/>
    <x v="0"/>
    <x v="0"/>
    <x v="0"/>
    <n v="0"/>
    <x v="0"/>
    <x v="0"/>
    <x v="1"/>
    <x v="0"/>
    <x v="1"/>
  </r>
  <r>
    <x v="8"/>
    <x v="0"/>
    <x v="1"/>
    <n v="20000"/>
    <x v="4"/>
    <x v="3"/>
    <x v="1"/>
    <x v="0"/>
    <n v="2"/>
    <x v="2"/>
    <x v="1"/>
    <x v="7"/>
    <x v="1"/>
    <x v="0"/>
  </r>
  <r>
    <x v="9"/>
    <x v="0"/>
    <x v="1"/>
    <n v="120000"/>
    <x v="4"/>
    <x v="1"/>
    <x v="3"/>
    <x v="0"/>
    <n v="1"/>
    <x v="0"/>
    <x v="0"/>
    <x v="8"/>
    <x v="0"/>
    <x v="1"/>
  </r>
  <r>
    <x v="10"/>
    <x v="0"/>
    <x v="0"/>
    <n v="30000"/>
    <x v="1"/>
    <x v="2"/>
    <x v="0"/>
    <x v="1"/>
    <n v="2"/>
    <x v="3"/>
    <x v="1"/>
    <x v="9"/>
    <x v="0"/>
    <x v="1"/>
  </r>
  <r>
    <x v="11"/>
    <x v="1"/>
    <x v="0"/>
    <n v="90000"/>
    <x v="3"/>
    <x v="0"/>
    <x v="2"/>
    <x v="1"/>
    <n v="4"/>
    <x v="4"/>
    <x v="1"/>
    <x v="4"/>
    <x v="0"/>
    <x v="0"/>
  </r>
  <r>
    <x v="12"/>
    <x v="0"/>
    <x v="1"/>
    <n v="170000"/>
    <x v="2"/>
    <x v="1"/>
    <x v="2"/>
    <x v="0"/>
    <n v="0"/>
    <x v="0"/>
    <x v="0"/>
    <x v="10"/>
    <x v="0"/>
    <x v="0"/>
  </r>
  <r>
    <x v="13"/>
    <x v="0"/>
    <x v="1"/>
    <n v="40000"/>
    <x v="4"/>
    <x v="1"/>
    <x v="1"/>
    <x v="0"/>
    <n v="1"/>
    <x v="3"/>
    <x v="0"/>
    <x v="11"/>
    <x v="0"/>
    <x v="1"/>
  </r>
  <r>
    <x v="14"/>
    <x v="1"/>
    <x v="1"/>
    <n v="60000"/>
    <x v="0"/>
    <x v="1"/>
    <x v="0"/>
    <x v="1"/>
    <n v="1"/>
    <x v="0"/>
    <x v="1"/>
    <x v="12"/>
    <x v="0"/>
    <x v="1"/>
  </r>
  <r>
    <x v="15"/>
    <x v="1"/>
    <x v="0"/>
    <n v="10000"/>
    <x v="4"/>
    <x v="2"/>
    <x v="3"/>
    <x v="0"/>
    <n v="1"/>
    <x v="0"/>
    <x v="0"/>
    <x v="13"/>
    <x v="0"/>
    <x v="1"/>
  </r>
  <r>
    <x v="16"/>
    <x v="1"/>
    <x v="1"/>
    <n v="30000"/>
    <x v="1"/>
    <x v="1"/>
    <x v="1"/>
    <x v="1"/>
    <n v="2"/>
    <x v="3"/>
    <x v="1"/>
    <x v="14"/>
    <x v="1"/>
    <x v="1"/>
  </r>
  <r>
    <x v="17"/>
    <x v="0"/>
    <x v="0"/>
    <n v="30000"/>
    <x v="0"/>
    <x v="0"/>
    <x v="1"/>
    <x v="0"/>
    <n v="0"/>
    <x v="0"/>
    <x v="0"/>
    <x v="15"/>
    <x v="0"/>
    <x v="0"/>
  </r>
  <r>
    <x v="18"/>
    <x v="1"/>
    <x v="1"/>
    <n v="40000"/>
    <x v="4"/>
    <x v="1"/>
    <x v="1"/>
    <x v="0"/>
    <n v="1"/>
    <x v="3"/>
    <x v="0"/>
    <x v="11"/>
    <x v="0"/>
    <x v="1"/>
  </r>
  <r>
    <x v="19"/>
    <x v="1"/>
    <x v="1"/>
    <n v="20000"/>
    <x v="4"/>
    <x v="3"/>
    <x v="1"/>
    <x v="0"/>
    <n v="2"/>
    <x v="2"/>
    <x v="1"/>
    <x v="10"/>
    <x v="0"/>
    <x v="1"/>
  </r>
  <r>
    <x v="20"/>
    <x v="0"/>
    <x v="0"/>
    <n v="40000"/>
    <x v="3"/>
    <x v="4"/>
    <x v="1"/>
    <x v="0"/>
    <n v="0"/>
    <x v="0"/>
    <x v="0"/>
    <x v="4"/>
    <x v="0"/>
    <x v="1"/>
  </r>
  <r>
    <x v="21"/>
    <x v="1"/>
    <x v="0"/>
    <n v="80000"/>
    <x v="3"/>
    <x v="0"/>
    <x v="2"/>
    <x v="0"/>
    <n v="4"/>
    <x v="4"/>
    <x v="1"/>
    <x v="11"/>
    <x v="0"/>
    <x v="0"/>
  </r>
  <r>
    <x v="22"/>
    <x v="1"/>
    <x v="1"/>
    <n v="40000"/>
    <x v="4"/>
    <x v="1"/>
    <x v="1"/>
    <x v="0"/>
    <n v="0"/>
    <x v="3"/>
    <x v="0"/>
    <x v="11"/>
    <x v="0"/>
    <x v="1"/>
  </r>
  <r>
    <x v="23"/>
    <x v="0"/>
    <x v="0"/>
    <n v="80000"/>
    <x v="2"/>
    <x v="2"/>
    <x v="4"/>
    <x v="1"/>
    <n v="3"/>
    <x v="2"/>
    <x v="0"/>
    <x v="16"/>
    <x v="1"/>
    <x v="0"/>
  </r>
  <r>
    <x v="24"/>
    <x v="1"/>
    <x v="1"/>
    <n v="40000"/>
    <x v="4"/>
    <x v="1"/>
    <x v="1"/>
    <x v="1"/>
    <n v="1"/>
    <x v="0"/>
    <x v="0"/>
    <x v="17"/>
    <x v="0"/>
    <x v="0"/>
  </r>
  <r>
    <x v="25"/>
    <x v="1"/>
    <x v="1"/>
    <n v="30000"/>
    <x v="0"/>
    <x v="0"/>
    <x v="1"/>
    <x v="0"/>
    <n v="0"/>
    <x v="0"/>
    <x v="0"/>
    <x v="18"/>
    <x v="1"/>
    <x v="0"/>
  </r>
  <r>
    <x v="26"/>
    <x v="1"/>
    <x v="1"/>
    <n v="30000"/>
    <x v="3"/>
    <x v="1"/>
    <x v="1"/>
    <x v="1"/>
    <n v="1"/>
    <x v="0"/>
    <x v="0"/>
    <x v="19"/>
    <x v="2"/>
    <x v="1"/>
  </r>
  <r>
    <x v="27"/>
    <x v="1"/>
    <x v="0"/>
    <n v="100000"/>
    <x v="3"/>
    <x v="0"/>
    <x v="2"/>
    <x v="1"/>
    <n v="1"/>
    <x v="2"/>
    <x v="1"/>
    <x v="8"/>
    <x v="0"/>
    <x v="0"/>
  </r>
  <r>
    <x v="28"/>
    <x v="0"/>
    <x v="1"/>
    <n v="70000"/>
    <x v="2"/>
    <x v="1"/>
    <x v="0"/>
    <x v="0"/>
    <n v="2"/>
    <x v="2"/>
    <x v="1"/>
    <x v="20"/>
    <x v="0"/>
    <x v="0"/>
  </r>
  <r>
    <x v="29"/>
    <x v="1"/>
    <x v="0"/>
    <n v="20000"/>
    <x v="3"/>
    <x v="3"/>
    <x v="3"/>
    <x v="1"/>
    <n v="2"/>
    <x v="0"/>
    <x v="0"/>
    <x v="21"/>
    <x v="0"/>
    <x v="1"/>
  </r>
  <r>
    <x v="30"/>
    <x v="0"/>
    <x v="0"/>
    <n v="20000"/>
    <x v="4"/>
    <x v="1"/>
    <x v="3"/>
    <x v="0"/>
    <n v="0"/>
    <x v="0"/>
    <x v="0"/>
    <x v="18"/>
    <x v="1"/>
    <x v="0"/>
  </r>
  <r>
    <x v="31"/>
    <x v="0"/>
    <x v="1"/>
    <n v="10000"/>
    <x v="3"/>
    <x v="1"/>
    <x v="3"/>
    <x v="1"/>
    <n v="1"/>
    <x v="0"/>
    <x v="1"/>
    <x v="22"/>
    <x v="2"/>
    <x v="1"/>
  </r>
  <r>
    <x v="32"/>
    <x v="1"/>
    <x v="0"/>
    <n v="20000"/>
    <x v="3"/>
    <x v="2"/>
    <x v="3"/>
    <x v="1"/>
    <n v="1"/>
    <x v="2"/>
    <x v="0"/>
    <x v="23"/>
    <x v="0"/>
    <x v="0"/>
  </r>
  <r>
    <x v="33"/>
    <x v="1"/>
    <x v="1"/>
    <n v="80000"/>
    <x v="4"/>
    <x v="2"/>
    <x v="0"/>
    <x v="1"/>
    <n v="2"/>
    <x v="3"/>
    <x v="1"/>
    <x v="5"/>
    <x v="0"/>
    <x v="1"/>
  </r>
  <r>
    <x v="34"/>
    <x v="1"/>
    <x v="1"/>
    <n v="90000"/>
    <x v="2"/>
    <x v="1"/>
    <x v="2"/>
    <x v="1"/>
    <n v="2"/>
    <x v="1"/>
    <x v="0"/>
    <x v="24"/>
    <x v="1"/>
    <x v="1"/>
  </r>
  <r>
    <x v="35"/>
    <x v="1"/>
    <x v="0"/>
    <n v="10000"/>
    <x v="2"/>
    <x v="3"/>
    <x v="3"/>
    <x v="1"/>
    <n v="2"/>
    <x v="0"/>
    <x v="0"/>
    <x v="3"/>
    <x v="0"/>
    <x v="0"/>
  </r>
  <r>
    <x v="36"/>
    <x v="0"/>
    <x v="0"/>
    <n v="10000"/>
    <x v="4"/>
    <x v="1"/>
    <x v="3"/>
    <x v="0"/>
    <n v="1"/>
    <x v="0"/>
    <x v="0"/>
    <x v="5"/>
    <x v="0"/>
    <x v="1"/>
  </r>
  <r>
    <x v="37"/>
    <x v="1"/>
    <x v="0"/>
    <n v="30000"/>
    <x v="3"/>
    <x v="1"/>
    <x v="1"/>
    <x v="1"/>
    <n v="1"/>
    <x v="1"/>
    <x v="0"/>
    <x v="25"/>
    <x v="2"/>
    <x v="0"/>
  </r>
  <r>
    <x v="38"/>
    <x v="1"/>
    <x v="1"/>
    <n v="20000"/>
    <x v="3"/>
    <x v="2"/>
    <x v="3"/>
    <x v="1"/>
    <n v="1"/>
    <x v="1"/>
    <x v="0"/>
    <x v="26"/>
    <x v="2"/>
    <x v="0"/>
  </r>
  <r>
    <x v="39"/>
    <x v="1"/>
    <x v="0"/>
    <n v="10000"/>
    <x v="5"/>
    <x v="3"/>
    <x v="3"/>
    <x v="0"/>
    <n v="2"/>
    <x v="0"/>
    <x v="0"/>
    <x v="8"/>
    <x v="0"/>
    <x v="1"/>
  </r>
  <r>
    <x v="40"/>
    <x v="1"/>
    <x v="0"/>
    <n v="30000"/>
    <x v="4"/>
    <x v="1"/>
    <x v="1"/>
    <x v="1"/>
    <n v="0"/>
    <x v="0"/>
    <x v="0"/>
    <x v="1"/>
    <x v="0"/>
    <x v="0"/>
  </r>
  <r>
    <x v="41"/>
    <x v="1"/>
    <x v="0"/>
    <n v="40000"/>
    <x v="4"/>
    <x v="0"/>
    <x v="4"/>
    <x v="0"/>
    <n v="2"/>
    <x v="2"/>
    <x v="1"/>
    <x v="27"/>
    <x v="1"/>
    <x v="1"/>
  </r>
  <r>
    <x v="42"/>
    <x v="0"/>
    <x v="0"/>
    <n v="10000"/>
    <x v="0"/>
    <x v="4"/>
    <x v="3"/>
    <x v="0"/>
    <n v="0"/>
    <x v="0"/>
    <x v="0"/>
    <x v="8"/>
    <x v="0"/>
    <x v="0"/>
  </r>
  <r>
    <x v="43"/>
    <x v="0"/>
    <x v="0"/>
    <n v="170000"/>
    <x v="5"/>
    <x v="1"/>
    <x v="2"/>
    <x v="1"/>
    <n v="3"/>
    <x v="2"/>
    <x v="0"/>
    <x v="28"/>
    <x v="0"/>
    <x v="1"/>
  </r>
  <r>
    <x v="44"/>
    <x v="0"/>
    <x v="0"/>
    <n v="20000"/>
    <x v="1"/>
    <x v="2"/>
    <x v="3"/>
    <x v="0"/>
    <n v="0"/>
    <x v="0"/>
    <x v="0"/>
    <x v="3"/>
    <x v="0"/>
    <x v="1"/>
  </r>
  <r>
    <x v="45"/>
    <x v="0"/>
    <x v="0"/>
    <n v="20000"/>
    <x v="0"/>
    <x v="0"/>
    <x v="1"/>
    <x v="0"/>
    <n v="0"/>
    <x v="0"/>
    <x v="0"/>
    <x v="29"/>
    <x v="1"/>
    <x v="1"/>
  </r>
  <r>
    <x v="46"/>
    <x v="0"/>
    <x v="0"/>
    <n v="60000"/>
    <x v="0"/>
    <x v="1"/>
    <x v="0"/>
    <x v="0"/>
    <n v="1"/>
    <x v="2"/>
    <x v="1"/>
    <x v="30"/>
    <x v="0"/>
    <x v="1"/>
  </r>
  <r>
    <x v="47"/>
    <x v="1"/>
    <x v="0"/>
    <n v="40000"/>
    <x v="4"/>
    <x v="1"/>
    <x v="0"/>
    <x v="0"/>
    <n v="2"/>
    <x v="2"/>
    <x v="1"/>
    <x v="31"/>
    <x v="0"/>
    <x v="1"/>
  </r>
  <r>
    <x v="48"/>
    <x v="0"/>
    <x v="1"/>
    <n v="30000"/>
    <x v="4"/>
    <x v="1"/>
    <x v="1"/>
    <x v="1"/>
    <n v="2"/>
    <x v="0"/>
    <x v="0"/>
    <x v="0"/>
    <x v="0"/>
    <x v="0"/>
  </r>
  <r>
    <x v="49"/>
    <x v="1"/>
    <x v="1"/>
    <n v="40000"/>
    <x v="3"/>
    <x v="0"/>
    <x v="1"/>
    <x v="0"/>
    <n v="0"/>
    <x v="0"/>
    <x v="0"/>
    <x v="32"/>
    <x v="0"/>
    <x v="1"/>
  </r>
  <r>
    <x v="50"/>
    <x v="1"/>
    <x v="0"/>
    <n v="30000"/>
    <x v="3"/>
    <x v="1"/>
    <x v="1"/>
    <x v="1"/>
    <n v="1"/>
    <x v="0"/>
    <x v="0"/>
    <x v="26"/>
    <x v="2"/>
    <x v="0"/>
  </r>
  <r>
    <x v="51"/>
    <x v="1"/>
    <x v="1"/>
    <n v="80000"/>
    <x v="3"/>
    <x v="0"/>
    <x v="2"/>
    <x v="1"/>
    <n v="4"/>
    <x v="4"/>
    <x v="1"/>
    <x v="11"/>
    <x v="0"/>
    <x v="0"/>
  </r>
  <r>
    <x v="52"/>
    <x v="0"/>
    <x v="0"/>
    <n v="20000"/>
    <x v="0"/>
    <x v="0"/>
    <x v="1"/>
    <x v="0"/>
    <n v="0"/>
    <x v="0"/>
    <x v="0"/>
    <x v="27"/>
    <x v="1"/>
    <x v="0"/>
  </r>
  <r>
    <x v="53"/>
    <x v="1"/>
    <x v="0"/>
    <n v="90000"/>
    <x v="5"/>
    <x v="2"/>
    <x v="4"/>
    <x v="1"/>
    <n v="3"/>
    <x v="2"/>
    <x v="0"/>
    <x v="16"/>
    <x v="1"/>
    <x v="0"/>
  </r>
  <r>
    <x v="54"/>
    <x v="1"/>
    <x v="0"/>
    <n v="70000"/>
    <x v="3"/>
    <x v="0"/>
    <x v="2"/>
    <x v="1"/>
    <n v="1"/>
    <x v="2"/>
    <x v="1"/>
    <x v="0"/>
    <x v="0"/>
    <x v="0"/>
  </r>
  <r>
    <x v="55"/>
    <x v="0"/>
    <x v="1"/>
    <n v="80000"/>
    <x v="5"/>
    <x v="2"/>
    <x v="2"/>
    <x v="0"/>
    <n v="2"/>
    <x v="4"/>
    <x v="0"/>
    <x v="9"/>
    <x v="0"/>
    <x v="0"/>
  </r>
  <r>
    <x v="56"/>
    <x v="0"/>
    <x v="1"/>
    <n v="40000"/>
    <x v="3"/>
    <x v="0"/>
    <x v="1"/>
    <x v="0"/>
    <n v="0"/>
    <x v="0"/>
    <x v="0"/>
    <x v="13"/>
    <x v="0"/>
    <x v="1"/>
  </r>
  <r>
    <x v="57"/>
    <x v="0"/>
    <x v="1"/>
    <n v="130000"/>
    <x v="5"/>
    <x v="1"/>
    <x v="2"/>
    <x v="1"/>
    <n v="4"/>
    <x v="2"/>
    <x v="0"/>
    <x v="33"/>
    <x v="1"/>
    <x v="1"/>
  </r>
  <r>
    <x v="58"/>
    <x v="0"/>
    <x v="0"/>
    <n v="40000"/>
    <x v="0"/>
    <x v="0"/>
    <x v="0"/>
    <x v="0"/>
    <n v="0"/>
    <x v="0"/>
    <x v="0"/>
    <x v="1"/>
    <x v="0"/>
    <x v="1"/>
  </r>
  <r>
    <x v="59"/>
    <x v="0"/>
    <x v="1"/>
    <n v="60000"/>
    <x v="4"/>
    <x v="0"/>
    <x v="2"/>
    <x v="0"/>
    <n v="1"/>
    <x v="1"/>
    <x v="1"/>
    <x v="13"/>
    <x v="0"/>
    <x v="1"/>
  </r>
  <r>
    <x v="60"/>
    <x v="1"/>
    <x v="0"/>
    <n v="10000"/>
    <x v="0"/>
    <x v="2"/>
    <x v="3"/>
    <x v="1"/>
    <n v="1"/>
    <x v="3"/>
    <x v="0"/>
    <x v="12"/>
    <x v="0"/>
    <x v="0"/>
  </r>
  <r>
    <x v="61"/>
    <x v="1"/>
    <x v="0"/>
    <n v="10000"/>
    <x v="4"/>
    <x v="2"/>
    <x v="3"/>
    <x v="0"/>
    <n v="0"/>
    <x v="0"/>
    <x v="0"/>
    <x v="11"/>
    <x v="0"/>
    <x v="0"/>
  </r>
  <r>
    <x v="62"/>
    <x v="0"/>
    <x v="1"/>
    <n v="40000"/>
    <x v="4"/>
    <x v="0"/>
    <x v="4"/>
    <x v="0"/>
    <n v="1"/>
    <x v="0"/>
    <x v="1"/>
    <x v="31"/>
    <x v="0"/>
    <x v="1"/>
  </r>
  <r>
    <x v="63"/>
    <x v="1"/>
    <x v="1"/>
    <n v="60000"/>
    <x v="5"/>
    <x v="0"/>
    <x v="2"/>
    <x v="0"/>
    <n v="3"/>
    <x v="4"/>
    <x v="1"/>
    <x v="3"/>
    <x v="0"/>
    <x v="0"/>
  </r>
  <r>
    <x v="64"/>
    <x v="0"/>
    <x v="0"/>
    <n v="30000"/>
    <x v="0"/>
    <x v="0"/>
    <x v="1"/>
    <x v="0"/>
    <n v="0"/>
    <x v="0"/>
    <x v="0"/>
    <x v="34"/>
    <x v="0"/>
    <x v="1"/>
  </r>
  <r>
    <x v="65"/>
    <x v="1"/>
    <x v="1"/>
    <n v="30000"/>
    <x v="4"/>
    <x v="1"/>
    <x v="1"/>
    <x v="0"/>
    <n v="2"/>
    <x v="2"/>
    <x v="1"/>
    <x v="35"/>
    <x v="1"/>
    <x v="0"/>
  </r>
  <r>
    <x v="66"/>
    <x v="0"/>
    <x v="0"/>
    <n v="40000"/>
    <x v="3"/>
    <x v="4"/>
    <x v="1"/>
    <x v="0"/>
    <n v="0"/>
    <x v="0"/>
    <x v="0"/>
    <x v="34"/>
    <x v="0"/>
    <x v="1"/>
  </r>
  <r>
    <x v="67"/>
    <x v="1"/>
    <x v="1"/>
    <n v="30000"/>
    <x v="3"/>
    <x v="2"/>
    <x v="3"/>
    <x v="0"/>
    <n v="1"/>
    <x v="1"/>
    <x v="0"/>
    <x v="6"/>
    <x v="0"/>
    <x v="1"/>
  </r>
  <r>
    <x v="68"/>
    <x v="1"/>
    <x v="0"/>
    <n v="20000"/>
    <x v="5"/>
    <x v="2"/>
    <x v="3"/>
    <x v="0"/>
    <n v="1"/>
    <x v="0"/>
    <x v="0"/>
    <x v="1"/>
    <x v="0"/>
    <x v="1"/>
  </r>
  <r>
    <x v="69"/>
    <x v="0"/>
    <x v="0"/>
    <n v="10000"/>
    <x v="3"/>
    <x v="3"/>
    <x v="3"/>
    <x v="1"/>
    <n v="2"/>
    <x v="0"/>
    <x v="0"/>
    <x v="25"/>
    <x v="2"/>
    <x v="0"/>
  </r>
  <r>
    <x v="70"/>
    <x v="0"/>
    <x v="1"/>
    <n v="120000"/>
    <x v="3"/>
    <x v="3"/>
    <x v="2"/>
    <x v="0"/>
    <n v="4"/>
    <x v="4"/>
    <x v="1"/>
    <x v="4"/>
    <x v="0"/>
    <x v="1"/>
  </r>
  <r>
    <x v="71"/>
    <x v="1"/>
    <x v="0"/>
    <n v="10000"/>
    <x v="3"/>
    <x v="3"/>
    <x v="3"/>
    <x v="1"/>
    <n v="2"/>
    <x v="0"/>
    <x v="0"/>
    <x v="11"/>
    <x v="0"/>
    <x v="0"/>
  </r>
  <r>
    <x v="72"/>
    <x v="0"/>
    <x v="0"/>
    <n v="130000"/>
    <x v="1"/>
    <x v="2"/>
    <x v="2"/>
    <x v="0"/>
    <n v="4"/>
    <x v="0"/>
    <x v="0"/>
    <x v="31"/>
    <x v="0"/>
    <x v="0"/>
  </r>
  <r>
    <x v="73"/>
    <x v="1"/>
    <x v="0"/>
    <n v="20000"/>
    <x v="3"/>
    <x v="1"/>
    <x v="3"/>
    <x v="1"/>
    <n v="1"/>
    <x v="1"/>
    <x v="0"/>
    <x v="4"/>
    <x v="0"/>
    <x v="1"/>
  </r>
  <r>
    <x v="74"/>
    <x v="0"/>
    <x v="0"/>
    <n v="20000"/>
    <x v="1"/>
    <x v="2"/>
    <x v="0"/>
    <x v="1"/>
    <n v="2"/>
    <x v="3"/>
    <x v="1"/>
    <x v="24"/>
    <x v="1"/>
    <x v="0"/>
  </r>
  <r>
    <x v="75"/>
    <x v="1"/>
    <x v="0"/>
    <n v="130000"/>
    <x v="5"/>
    <x v="2"/>
    <x v="4"/>
    <x v="0"/>
    <n v="4"/>
    <x v="0"/>
    <x v="1"/>
    <x v="23"/>
    <x v="0"/>
    <x v="0"/>
  </r>
  <r>
    <x v="76"/>
    <x v="1"/>
    <x v="0"/>
    <n v="20000"/>
    <x v="3"/>
    <x v="3"/>
    <x v="3"/>
    <x v="1"/>
    <n v="2"/>
    <x v="3"/>
    <x v="0"/>
    <x v="22"/>
    <x v="2"/>
    <x v="0"/>
  </r>
  <r>
    <x v="77"/>
    <x v="0"/>
    <x v="1"/>
    <n v="80000"/>
    <x v="3"/>
    <x v="0"/>
    <x v="2"/>
    <x v="0"/>
    <n v="2"/>
    <x v="4"/>
    <x v="1"/>
    <x v="19"/>
    <x v="2"/>
    <x v="1"/>
  </r>
  <r>
    <x v="78"/>
    <x v="0"/>
    <x v="1"/>
    <n v="80000"/>
    <x v="4"/>
    <x v="2"/>
    <x v="0"/>
    <x v="1"/>
    <n v="2"/>
    <x v="3"/>
    <x v="1"/>
    <x v="5"/>
    <x v="0"/>
    <x v="1"/>
  </r>
  <r>
    <x v="79"/>
    <x v="1"/>
    <x v="1"/>
    <n v="40000"/>
    <x v="4"/>
    <x v="0"/>
    <x v="4"/>
    <x v="0"/>
    <n v="2"/>
    <x v="2"/>
    <x v="1"/>
    <x v="18"/>
    <x v="1"/>
    <x v="1"/>
  </r>
  <r>
    <x v="80"/>
    <x v="0"/>
    <x v="0"/>
    <n v="30000"/>
    <x v="5"/>
    <x v="4"/>
    <x v="1"/>
    <x v="0"/>
    <n v="0"/>
    <x v="0"/>
    <x v="0"/>
    <x v="12"/>
    <x v="0"/>
    <x v="1"/>
  </r>
  <r>
    <x v="81"/>
    <x v="1"/>
    <x v="0"/>
    <n v="10000"/>
    <x v="5"/>
    <x v="3"/>
    <x v="3"/>
    <x v="0"/>
    <n v="2"/>
    <x v="0"/>
    <x v="0"/>
    <x v="8"/>
    <x v="0"/>
    <x v="0"/>
  </r>
  <r>
    <x v="82"/>
    <x v="0"/>
    <x v="1"/>
    <n v="30000"/>
    <x v="3"/>
    <x v="0"/>
    <x v="1"/>
    <x v="0"/>
    <n v="0"/>
    <x v="0"/>
    <x v="0"/>
    <x v="15"/>
    <x v="0"/>
    <x v="1"/>
  </r>
  <r>
    <x v="83"/>
    <x v="1"/>
    <x v="1"/>
    <n v="20000"/>
    <x v="3"/>
    <x v="2"/>
    <x v="3"/>
    <x v="1"/>
    <n v="1"/>
    <x v="1"/>
    <x v="0"/>
    <x v="19"/>
    <x v="2"/>
    <x v="0"/>
  </r>
  <r>
    <x v="84"/>
    <x v="1"/>
    <x v="1"/>
    <n v="40000"/>
    <x v="4"/>
    <x v="0"/>
    <x v="4"/>
    <x v="1"/>
    <n v="1"/>
    <x v="2"/>
    <x v="1"/>
    <x v="31"/>
    <x v="0"/>
    <x v="1"/>
  </r>
  <r>
    <x v="85"/>
    <x v="1"/>
    <x v="1"/>
    <n v="10000"/>
    <x v="3"/>
    <x v="1"/>
    <x v="3"/>
    <x v="0"/>
    <n v="1"/>
    <x v="3"/>
    <x v="1"/>
    <x v="22"/>
    <x v="2"/>
    <x v="1"/>
  </r>
  <r>
    <x v="86"/>
    <x v="1"/>
    <x v="1"/>
    <n v="130000"/>
    <x v="1"/>
    <x v="1"/>
    <x v="2"/>
    <x v="1"/>
    <n v="3"/>
    <x v="0"/>
    <x v="0"/>
    <x v="36"/>
    <x v="0"/>
    <x v="1"/>
  </r>
  <r>
    <x v="87"/>
    <x v="0"/>
    <x v="1"/>
    <n v="80000"/>
    <x v="2"/>
    <x v="0"/>
    <x v="2"/>
    <x v="0"/>
    <n v="4"/>
    <x v="3"/>
    <x v="1"/>
    <x v="8"/>
    <x v="0"/>
    <x v="0"/>
  </r>
  <r>
    <x v="88"/>
    <x v="1"/>
    <x v="1"/>
    <n v="30000"/>
    <x v="3"/>
    <x v="1"/>
    <x v="1"/>
    <x v="1"/>
    <n v="1"/>
    <x v="1"/>
    <x v="0"/>
    <x v="19"/>
    <x v="2"/>
    <x v="0"/>
  </r>
  <r>
    <x v="89"/>
    <x v="0"/>
    <x v="1"/>
    <n v="20000"/>
    <x v="0"/>
    <x v="2"/>
    <x v="3"/>
    <x v="1"/>
    <n v="1"/>
    <x v="3"/>
    <x v="0"/>
    <x v="8"/>
    <x v="0"/>
    <x v="1"/>
  </r>
  <r>
    <x v="90"/>
    <x v="1"/>
    <x v="0"/>
    <n v="30000"/>
    <x v="3"/>
    <x v="1"/>
    <x v="1"/>
    <x v="1"/>
    <n v="1"/>
    <x v="0"/>
    <x v="0"/>
    <x v="19"/>
    <x v="2"/>
    <x v="1"/>
  </r>
  <r>
    <x v="91"/>
    <x v="1"/>
    <x v="1"/>
    <n v="30000"/>
    <x v="3"/>
    <x v="1"/>
    <x v="1"/>
    <x v="1"/>
    <n v="1"/>
    <x v="0"/>
    <x v="0"/>
    <x v="25"/>
    <x v="2"/>
    <x v="1"/>
  </r>
  <r>
    <x v="92"/>
    <x v="1"/>
    <x v="0"/>
    <n v="60000"/>
    <x v="4"/>
    <x v="0"/>
    <x v="2"/>
    <x v="0"/>
    <n v="1"/>
    <x v="1"/>
    <x v="1"/>
    <x v="34"/>
    <x v="0"/>
    <x v="1"/>
  </r>
  <r>
    <x v="93"/>
    <x v="1"/>
    <x v="0"/>
    <n v="30000"/>
    <x v="3"/>
    <x v="1"/>
    <x v="1"/>
    <x v="1"/>
    <n v="1"/>
    <x v="1"/>
    <x v="0"/>
    <x v="6"/>
    <x v="0"/>
    <x v="0"/>
  </r>
  <r>
    <x v="94"/>
    <x v="1"/>
    <x v="0"/>
    <n v="30000"/>
    <x v="1"/>
    <x v="2"/>
    <x v="0"/>
    <x v="0"/>
    <n v="2"/>
    <x v="2"/>
    <x v="1"/>
    <x v="10"/>
    <x v="0"/>
    <x v="0"/>
  </r>
  <r>
    <x v="95"/>
    <x v="1"/>
    <x v="0"/>
    <n v="90000"/>
    <x v="2"/>
    <x v="1"/>
    <x v="2"/>
    <x v="0"/>
    <n v="2"/>
    <x v="4"/>
    <x v="0"/>
    <x v="24"/>
    <x v="1"/>
    <x v="0"/>
  </r>
  <r>
    <x v="96"/>
    <x v="0"/>
    <x v="1"/>
    <n v="30000"/>
    <x v="0"/>
    <x v="1"/>
    <x v="1"/>
    <x v="0"/>
    <n v="1"/>
    <x v="0"/>
    <x v="0"/>
    <x v="1"/>
    <x v="0"/>
    <x v="0"/>
  </r>
  <r>
    <x v="97"/>
    <x v="0"/>
    <x v="1"/>
    <n v="40000"/>
    <x v="0"/>
    <x v="0"/>
    <x v="0"/>
    <x v="0"/>
    <n v="1"/>
    <x v="0"/>
    <x v="0"/>
    <x v="20"/>
    <x v="0"/>
    <x v="1"/>
  </r>
  <r>
    <x v="98"/>
    <x v="0"/>
    <x v="1"/>
    <n v="40000"/>
    <x v="3"/>
    <x v="4"/>
    <x v="1"/>
    <x v="0"/>
    <n v="0"/>
    <x v="0"/>
    <x v="0"/>
    <x v="37"/>
    <x v="2"/>
    <x v="1"/>
  </r>
  <r>
    <x v="99"/>
    <x v="0"/>
    <x v="0"/>
    <n v="20000"/>
    <x v="1"/>
    <x v="2"/>
    <x v="3"/>
    <x v="0"/>
    <n v="2"/>
    <x v="0"/>
    <x v="0"/>
    <x v="1"/>
    <x v="0"/>
    <x v="0"/>
  </r>
  <r>
    <x v="100"/>
    <x v="1"/>
    <x v="1"/>
    <n v="10000"/>
    <x v="4"/>
    <x v="2"/>
    <x v="3"/>
    <x v="0"/>
    <n v="0"/>
    <x v="0"/>
    <x v="0"/>
    <x v="11"/>
    <x v="0"/>
    <x v="0"/>
  </r>
  <r>
    <x v="101"/>
    <x v="1"/>
    <x v="1"/>
    <n v="60000"/>
    <x v="1"/>
    <x v="0"/>
    <x v="2"/>
    <x v="1"/>
    <n v="2"/>
    <x v="0"/>
    <x v="1"/>
    <x v="1"/>
    <x v="0"/>
    <x v="1"/>
  </r>
  <r>
    <x v="102"/>
    <x v="0"/>
    <x v="1"/>
    <n v="10000"/>
    <x v="4"/>
    <x v="1"/>
    <x v="3"/>
    <x v="0"/>
    <n v="0"/>
    <x v="3"/>
    <x v="0"/>
    <x v="38"/>
    <x v="0"/>
    <x v="0"/>
  </r>
  <r>
    <x v="103"/>
    <x v="1"/>
    <x v="1"/>
    <n v="60000"/>
    <x v="0"/>
    <x v="1"/>
    <x v="0"/>
    <x v="0"/>
    <n v="1"/>
    <x v="2"/>
    <x v="1"/>
    <x v="12"/>
    <x v="0"/>
    <x v="0"/>
  </r>
  <r>
    <x v="104"/>
    <x v="1"/>
    <x v="0"/>
    <n v="70000"/>
    <x v="4"/>
    <x v="2"/>
    <x v="2"/>
    <x v="0"/>
    <n v="2"/>
    <x v="2"/>
    <x v="1"/>
    <x v="38"/>
    <x v="0"/>
    <x v="1"/>
  </r>
  <r>
    <x v="105"/>
    <x v="1"/>
    <x v="0"/>
    <n v="30000"/>
    <x v="3"/>
    <x v="1"/>
    <x v="1"/>
    <x v="1"/>
    <n v="1"/>
    <x v="1"/>
    <x v="0"/>
    <x v="25"/>
    <x v="2"/>
    <x v="0"/>
  </r>
  <r>
    <x v="106"/>
    <x v="0"/>
    <x v="1"/>
    <n v="70000"/>
    <x v="4"/>
    <x v="1"/>
    <x v="0"/>
    <x v="0"/>
    <n v="2"/>
    <x v="2"/>
    <x v="1"/>
    <x v="31"/>
    <x v="0"/>
    <x v="1"/>
  </r>
  <r>
    <x v="107"/>
    <x v="1"/>
    <x v="0"/>
    <n v="40000"/>
    <x v="4"/>
    <x v="1"/>
    <x v="0"/>
    <x v="1"/>
    <n v="2"/>
    <x v="3"/>
    <x v="1"/>
    <x v="39"/>
    <x v="0"/>
    <x v="1"/>
  </r>
  <r>
    <x v="108"/>
    <x v="0"/>
    <x v="0"/>
    <n v="40000"/>
    <x v="3"/>
    <x v="0"/>
    <x v="1"/>
    <x v="0"/>
    <n v="0"/>
    <x v="0"/>
    <x v="0"/>
    <x v="13"/>
    <x v="0"/>
    <x v="1"/>
  </r>
  <r>
    <x v="109"/>
    <x v="1"/>
    <x v="1"/>
    <n v="40000"/>
    <x v="3"/>
    <x v="0"/>
    <x v="2"/>
    <x v="1"/>
    <n v="0"/>
    <x v="0"/>
    <x v="0"/>
    <x v="32"/>
    <x v="0"/>
    <x v="1"/>
  </r>
  <r>
    <x v="110"/>
    <x v="1"/>
    <x v="0"/>
    <n v="30000"/>
    <x v="0"/>
    <x v="1"/>
    <x v="3"/>
    <x v="1"/>
    <n v="0"/>
    <x v="0"/>
    <x v="0"/>
    <x v="30"/>
    <x v="0"/>
    <x v="1"/>
  </r>
  <r>
    <x v="111"/>
    <x v="1"/>
    <x v="0"/>
    <n v="70000"/>
    <x v="3"/>
    <x v="0"/>
    <x v="2"/>
    <x v="1"/>
    <n v="1"/>
    <x v="2"/>
    <x v="1"/>
    <x v="13"/>
    <x v="0"/>
    <x v="0"/>
  </r>
  <r>
    <x v="112"/>
    <x v="1"/>
    <x v="0"/>
    <n v="40000"/>
    <x v="4"/>
    <x v="1"/>
    <x v="1"/>
    <x v="0"/>
    <n v="2"/>
    <x v="3"/>
    <x v="0"/>
    <x v="11"/>
    <x v="0"/>
    <x v="0"/>
  </r>
  <r>
    <x v="113"/>
    <x v="1"/>
    <x v="0"/>
    <n v="130000"/>
    <x v="0"/>
    <x v="4"/>
    <x v="4"/>
    <x v="1"/>
    <n v="1"/>
    <x v="0"/>
    <x v="1"/>
    <x v="4"/>
    <x v="0"/>
    <x v="1"/>
  </r>
  <r>
    <x v="114"/>
    <x v="0"/>
    <x v="1"/>
    <n v="20000"/>
    <x v="3"/>
    <x v="0"/>
    <x v="1"/>
    <x v="0"/>
    <n v="0"/>
    <x v="0"/>
    <x v="1"/>
    <x v="22"/>
    <x v="2"/>
    <x v="1"/>
  </r>
  <r>
    <x v="115"/>
    <x v="1"/>
    <x v="1"/>
    <n v="10000"/>
    <x v="3"/>
    <x v="4"/>
    <x v="3"/>
    <x v="1"/>
    <n v="0"/>
    <x v="0"/>
    <x v="0"/>
    <x v="25"/>
    <x v="2"/>
    <x v="1"/>
  </r>
  <r>
    <x v="116"/>
    <x v="0"/>
    <x v="0"/>
    <n v="30000"/>
    <x v="0"/>
    <x v="0"/>
    <x v="0"/>
    <x v="0"/>
    <n v="2"/>
    <x v="0"/>
    <x v="0"/>
    <x v="0"/>
    <x v="0"/>
    <x v="0"/>
  </r>
  <r>
    <x v="117"/>
    <x v="1"/>
    <x v="0"/>
    <n v="20000"/>
    <x v="3"/>
    <x v="2"/>
    <x v="3"/>
    <x v="0"/>
    <n v="0"/>
    <x v="0"/>
    <x v="0"/>
    <x v="8"/>
    <x v="0"/>
    <x v="1"/>
  </r>
  <r>
    <x v="118"/>
    <x v="0"/>
    <x v="1"/>
    <n v="80000"/>
    <x v="2"/>
    <x v="0"/>
    <x v="4"/>
    <x v="0"/>
    <n v="2"/>
    <x v="1"/>
    <x v="0"/>
    <x v="24"/>
    <x v="1"/>
    <x v="0"/>
  </r>
  <r>
    <x v="119"/>
    <x v="1"/>
    <x v="0"/>
    <n v="30000"/>
    <x v="3"/>
    <x v="1"/>
    <x v="1"/>
    <x v="1"/>
    <n v="1"/>
    <x v="1"/>
    <x v="0"/>
    <x v="19"/>
    <x v="2"/>
    <x v="0"/>
  </r>
  <r>
    <x v="120"/>
    <x v="0"/>
    <x v="0"/>
    <n v="40000"/>
    <x v="4"/>
    <x v="0"/>
    <x v="4"/>
    <x v="0"/>
    <n v="2"/>
    <x v="2"/>
    <x v="1"/>
    <x v="29"/>
    <x v="1"/>
    <x v="1"/>
  </r>
  <r>
    <x v="121"/>
    <x v="0"/>
    <x v="1"/>
    <n v="150000"/>
    <x v="4"/>
    <x v="2"/>
    <x v="2"/>
    <x v="0"/>
    <n v="4"/>
    <x v="0"/>
    <x v="0"/>
    <x v="28"/>
    <x v="0"/>
    <x v="0"/>
  </r>
  <r>
    <x v="122"/>
    <x v="1"/>
    <x v="0"/>
    <n v="80000"/>
    <x v="3"/>
    <x v="0"/>
    <x v="2"/>
    <x v="1"/>
    <n v="3"/>
    <x v="4"/>
    <x v="1"/>
    <x v="23"/>
    <x v="0"/>
    <x v="0"/>
  </r>
  <r>
    <x v="123"/>
    <x v="1"/>
    <x v="0"/>
    <n v="100000"/>
    <x v="1"/>
    <x v="1"/>
    <x v="4"/>
    <x v="1"/>
    <n v="4"/>
    <x v="2"/>
    <x v="0"/>
    <x v="16"/>
    <x v="1"/>
    <x v="0"/>
  </r>
  <r>
    <x v="124"/>
    <x v="1"/>
    <x v="0"/>
    <n v="40000"/>
    <x v="3"/>
    <x v="0"/>
    <x v="1"/>
    <x v="1"/>
    <n v="0"/>
    <x v="0"/>
    <x v="0"/>
    <x v="13"/>
    <x v="0"/>
    <x v="1"/>
  </r>
  <r>
    <x v="125"/>
    <x v="0"/>
    <x v="1"/>
    <n v="80000"/>
    <x v="2"/>
    <x v="0"/>
    <x v="2"/>
    <x v="0"/>
    <n v="4"/>
    <x v="3"/>
    <x v="1"/>
    <x v="8"/>
    <x v="0"/>
    <x v="0"/>
  </r>
  <r>
    <x v="126"/>
    <x v="1"/>
    <x v="1"/>
    <n v="30000"/>
    <x v="3"/>
    <x v="1"/>
    <x v="1"/>
    <x v="0"/>
    <n v="1"/>
    <x v="1"/>
    <x v="0"/>
    <x v="21"/>
    <x v="0"/>
    <x v="0"/>
  </r>
  <r>
    <x v="127"/>
    <x v="0"/>
    <x v="1"/>
    <n v="30000"/>
    <x v="0"/>
    <x v="0"/>
    <x v="1"/>
    <x v="0"/>
    <n v="1"/>
    <x v="1"/>
    <x v="0"/>
    <x v="32"/>
    <x v="0"/>
    <x v="0"/>
  </r>
  <r>
    <x v="128"/>
    <x v="1"/>
    <x v="1"/>
    <n v="10000"/>
    <x v="4"/>
    <x v="1"/>
    <x v="3"/>
    <x v="0"/>
    <n v="1"/>
    <x v="0"/>
    <x v="0"/>
    <x v="31"/>
    <x v="0"/>
    <x v="1"/>
  </r>
  <r>
    <x v="129"/>
    <x v="1"/>
    <x v="1"/>
    <n v="10000"/>
    <x v="1"/>
    <x v="2"/>
    <x v="3"/>
    <x v="0"/>
    <n v="1"/>
    <x v="0"/>
    <x v="0"/>
    <x v="32"/>
    <x v="0"/>
    <x v="1"/>
  </r>
  <r>
    <x v="130"/>
    <x v="0"/>
    <x v="1"/>
    <n v="60000"/>
    <x v="4"/>
    <x v="0"/>
    <x v="2"/>
    <x v="0"/>
    <n v="1"/>
    <x v="1"/>
    <x v="1"/>
    <x v="34"/>
    <x v="0"/>
    <x v="0"/>
  </r>
  <r>
    <x v="131"/>
    <x v="0"/>
    <x v="1"/>
    <n v="90000"/>
    <x v="5"/>
    <x v="2"/>
    <x v="4"/>
    <x v="0"/>
    <n v="3"/>
    <x v="2"/>
    <x v="0"/>
    <x v="16"/>
    <x v="1"/>
    <x v="1"/>
  </r>
  <r>
    <x v="132"/>
    <x v="0"/>
    <x v="1"/>
    <n v="40000"/>
    <x v="3"/>
    <x v="0"/>
    <x v="2"/>
    <x v="0"/>
    <n v="0"/>
    <x v="0"/>
    <x v="0"/>
    <x v="8"/>
    <x v="0"/>
    <x v="1"/>
  </r>
  <r>
    <x v="133"/>
    <x v="1"/>
    <x v="1"/>
    <n v="40000"/>
    <x v="4"/>
    <x v="0"/>
    <x v="4"/>
    <x v="0"/>
    <n v="2"/>
    <x v="2"/>
    <x v="1"/>
    <x v="27"/>
    <x v="1"/>
    <x v="1"/>
  </r>
  <r>
    <x v="134"/>
    <x v="1"/>
    <x v="0"/>
    <n v="30000"/>
    <x v="4"/>
    <x v="1"/>
    <x v="1"/>
    <x v="0"/>
    <n v="2"/>
    <x v="0"/>
    <x v="0"/>
    <x v="0"/>
    <x v="0"/>
    <x v="0"/>
  </r>
  <r>
    <x v="135"/>
    <x v="0"/>
    <x v="1"/>
    <n v="10000"/>
    <x v="4"/>
    <x v="1"/>
    <x v="3"/>
    <x v="0"/>
    <n v="1"/>
    <x v="1"/>
    <x v="0"/>
    <x v="31"/>
    <x v="0"/>
    <x v="0"/>
  </r>
  <r>
    <x v="136"/>
    <x v="1"/>
    <x v="0"/>
    <n v="10000"/>
    <x v="0"/>
    <x v="2"/>
    <x v="3"/>
    <x v="1"/>
    <n v="1"/>
    <x v="2"/>
    <x v="0"/>
    <x v="11"/>
    <x v="0"/>
    <x v="1"/>
  </r>
  <r>
    <x v="137"/>
    <x v="1"/>
    <x v="1"/>
    <n v="20000"/>
    <x v="4"/>
    <x v="2"/>
    <x v="3"/>
    <x v="0"/>
    <n v="2"/>
    <x v="0"/>
    <x v="0"/>
    <x v="0"/>
    <x v="0"/>
    <x v="0"/>
  </r>
  <r>
    <x v="138"/>
    <x v="0"/>
    <x v="0"/>
    <n v="20000"/>
    <x v="4"/>
    <x v="3"/>
    <x v="1"/>
    <x v="0"/>
    <n v="2"/>
    <x v="2"/>
    <x v="1"/>
    <x v="10"/>
    <x v="0"/>
    <x v="1"/>
  </r>
  <r>
    <x v="139"/>
    <x v="1"/>
    <x v="0"/>
    <n v="30000"/>
    <x v="4"/>
    <x v="1"/>
    <x v="1"/>
    <x v="1"/>
    <n v="2"/>
    <x v="2"/>
    <x v="1"/>
    <x v="2"/>
    <x v="1"/>
    <x v="1"/>
  </r>
  <r>
    <x v="140"/>
    <x v="1"/>
    <x v="1"/>
    <n v="40000"/>
    <x v="3"/>
    <x v="0"/>
    <x v="2"/>
    <x v="1"/>
    <n v="0"/>
    <x v="0"/>
    <x v="0"/>
    <x v="8"/>
    <x v="0"/>
    <x v="1"/>
  </r>
  <r>
    <x v="141"/>
    <x v="1"/>
    <x v="0"/>
    <n v="10000"/>
    <x v="3"/>
    <x v="1"/>
    <x v="3"/>
    <x v="1"/>
    <n v="1"/>
    <x v="0"/>
    <x v="1"/>
    <x v="22"/>
    <x v="2"/>
    <x v="1"/>
  </r>
  <r>
    <x v="142"/>
    <x v="0"/>
    <x v="1"/>
    <n v="40000"/>
    <x v="0"/>
    <x v="0"/>
    <x v="0"/>
    <x v="0"/>
    <n v="0"/>
    <x v="0"/>
    <x v="0"/>
    <x v="0"/>
    <x v="0"/>
    <x v="1"/>
  </r>
  <r>
    <x v="143"/>
    <x v="0"/>
    <x v="0"/>
    <n v="80000"/>
    <x v="3"/>
    <x v="0"/>
    <x v="2"/>
    <x v="0"/>
    <n v="3"/>
    <x v="4"/>
    <x v="1"/>
    <x v="21"/>
    <x v="0"/>
    <x v="0"/>
  </r>
  <r>
    <x v="144"/>
    <x v="1"/>
    <x v="1"/>
    <n v="30000"/>
    <x v="0"/>
    <x v="0"/>
    <x v="1"/>
    <x v="0"/>
    <n v="0"/>
    <x v="3"/>
    <x v="0"/>
    <x v="34"/>
    <x v="0"/>
    <x v="1"/>
  </r>
  <r>
    <x v="145"/>
    <x v="0"/>
    <x v="0"/>
    <n v="40000"/>
    <x v="4"/>
    <x v="1"/>
    <x v="1"/>
    <x v="1"/>
    <n v="1"/>
    <x v="0"/>
    <x v="0"/>
    <x v="17"/>
    <x v="0"/>
    <x v="0"/>
  </r>
  <r>
    <x v="146"/>
    <x v="0"/>
    <x v="1"/>
    <n v="40000"/>
    <x v="3"/>
    <x v="4"/>
    <x v="1"/>
    <x v="0"/>
    <n v="0"/>
    <x v="0"/>
    <x v="0"/>
    <x v="34"/>
    <x v="0"/>
    <x v="1"/>
  </r>
  <r>
    <x v="147"/>
    <x v="0"/>
    <x v="0"/>
    <n v="40000"/>
    <x v="3"/>
    <x v="0"/>
    <x v="2"/>
    <x v="1"/>
    <n v="0"/>
    <x v="0"/>
    <x v="0"/>
    <x v="8"/>
    <x v="0"/>
    <x v="1"/>
  </r>
  <r>
    <x v="148"/>
    <x v="0"/>
    <x v="1"/>
    <n v="20000"/>
    <x v="5"/>
    <x v="2"/>
    <x v="0"/>
    <x v="0"/>
    <n v="2"/>
    <x v="2"/>
    <x v="1"/>
    <x v="2"/>
    <x v="1"/>
    <x v="0"/>
  </r>
  <r>
    <x v="149"/>
    <x v="1"/>
    <x v="1"/>
    <n v="30000"/>
    <x v="3"/>
    <x v="1"/>
    <x v="1"/>
    <x v="1"/>
    <n v="1"/>
    <x v="3"/>
    <x v="0"/>
    <x v="40"/>
    <x v="2"/>
    <x v="0"/>
  </r>
  <r>
    <x v="150"/>
    <x v="0"/>
    <x v="1"/>
    <n v="60000"/>
    <x v="0"/>
    <x v="1"/>
    <x v="0"/>
    <x v="0"/>
    <n v="1"/>
    <x v="2"/>
    <x v="1"/>
    <x v="1"/>
    <x v="0"/>
    <x v="1"/>
  </r>
  <r>
    <x v="151"/>
    <x v="1"/>
    <x v="1"/>
    <n v="100000"/>
    <x v="0"/>
    <x v="0"/>
    <x v="4"/>
    <x v="1"/>
    <n v="3"/>
    <x v="0"/>
    <x v="1"/>
    <x v="28"/>
    <x v="0"/>
    <x v="0"/>
  </r>
  <r>
    <x v="152"/>
    <x v="1"/>
    <x v="0"/>
    <n v="20000"/>
    <x v="3"/>
    <x v="3"/>
    <x v="3"/>
    <x v="1"/>
    <n v="2"/>
    <x v="3"/>
    <x v="0"/>
    <x v="21"/>
    <x v="0"/>
    <x v="0"/>
  </r>
  <r>
    <x v="153"/>
    <x v="0"/>
    <x v="1"/>
    <n v="100000"/>
    <x v="0"/>
    <x v="0"/>
    <x v="4"/>
    <x v="0"/>
    <n v="3"/>
    <x v="1"/>
    <x v="1"/>
    <x v="15"/>
    <x v="0"/>
    <x v="0"/>
  </r>
  <r>
    <x v="154"/>
    <x v="1"/>
    <x v="1"/>
    <n v="80000"/>
    <x v="2"/>
    <x v="4"/>
    <x v="4"/>
    <x v="0"/>
    <n v="3"/>
    <x v="0"/>
    <x v="1"/>
    <x v="8"/>
    <x v="0"/>
    <x v="0"/>
  </r>
  <r>
    <x v="155"/>
    <x v="1"/>
    <x v="0"/>
    <n v="10000"/>
    <x v="5"/>
    <x v="3"/>
    <x v="3"/>
    <x v="0"/>
    <n v="2"/>
    <x v="0"/>
    <x v="0"/>
    <x v="3"/>
    <x v="0"/>
    <x v="1"/>
  </r>
  <r>
    <x v="156"/>
    <x v="0"/>
    <x v="0"/>
    <n v="130000"/>
    <x v="2"/>
    <x v="1"/>
    <x v="2"/>
    <x v="0"/>
    <n v="4"/>
    <x v="0"/>
    <x v="0"/>
    <x v="14"/>
    <x v="1"/>
    <x v="0"/>
  </r>
  <r>
    <x v="157"/>
    <x v="1"/>
    <x v="1"/>
    <n v="10000"/>
    <x v="4"/>
    <x v="1"/>
    <x v="3"/>
    <x v="1"/>
    <n v="0"/>
    <x v="0"/>
    <x v="0"/>
    <x v="5"/>
    <x v="0"/>
    <x v="0"/>
  </r>
  <r>
    <x v="158"/>
    <x v="1"/>
    <x v="0"/>
    <n v="20000"/>
    <x v="4"/>
    <x v="1"/>
    <x v="3"/>
    <x v="1"/>
    <n v="1"/>
    <x v="0"/>
    <x v="0"/>
    <x v="9"/>
    <x v="0"/>
    <x v="1"/>
  </r>
  <r>
    <x v="159"/>
    <x v="0"/>
    <x v="0"/>
    <n v="10000"/>
    <x v="0"/>
    <x v="0"/>
    <x v="3"/>
    <x v="0"/>
    <n v="0"/>
    <x v="0"/>
    <x v="0"/>
    <x v="28"/>
    <x v="0"/>
    <x v="0"/>
  </r>
  <r>
    <x v="160"/>
    <x v="1"/>
    <x v="0"/>
    <n v="60000"/>
    <x v="0"/>
    <x v="0"/>
    <x v="2"/>
    <x v="0"/>
    <n v="1"/>
    <x v="2"/>
    <x v="1"/>
    <x v="20"/>
    <x v="0"/>
    <x v="1"/>
  </r>
  <r>
    <x v="161"/>
    <x v="0"/>
    <x v="0"/>
    <n v="20000"/>
    <x v="4"/>
    <x v="2"/>
    <x v="3"/>
    <x v="0"/>
    <n v="0"/>
    <x v="0"/>
    <x v="0"/>
    <x v="8"/>
    <x v="0"/>
    <x v="1"/>
  </r>
  <r>
    <x v="162"/>
    <x v="1"/>
    <x v="0"/>
    <n v="60000"/>
    <x v="4"/>
    <x v="0"/>
    <x v="2"/>
    <x v="1"/>
    <n v="1"/>
    <x v="0"/>
    <x v="1"/>
    <x v="13"/>
    <x v="0"/>
    <x v="1"/>
  </r>
  <r>
    <x v="163"/>
    <x v="1"/>
    <x v="1"/>
    <n v="40000"/>
    <x v="4"/>
    <x v="1"/>
    <x v="0"/>
    <x v="1"/>
    <n v="2"/>
    <x v="3"/>
    <x v="1"/>
    <x v="31"/>
    <x v="0"/>
    <x v="0"/>
  </r>
  <r>
    <x v="164"/>
    <x v="0"/>
    <x v="1"/>
    <n v="10000"/>
    <x v="3"/>
    <x v="1"/>
    <x v="3"/>
    <x v="0"/>
    <n v="1"/>
    <x v="1"/>
    <x v="1"/>
    <x v="37"/>
    <x v="2"/>
    <x v="1"/>
  </r>
  <r>
    <x v="165"/>
    <x v="0"/>
    <x v="0"/>
    <n v="10000"/>
    <x v="3"/>
    <x v="1"/>
    <x v="3"/>
    <x v="1"/>
    <n v="1"/>
    <x v="0"/>
    <x v="1"/>
    <x v="37"/>
    <x v="2"/>
    <x v="0"/>
  </r>
  <r>
    <x v="166"/>
    <x v="1"/>
    <x v="1"/>
    <n v="90000"/>
    <x v="0"/>
    <x v="0"/>
    <x v="2"/>
    <x v="0"/>
    <n v="1"/>
    <x v="1"/>
    <x v="1"/>
    <x v="15"/>
    <x v="0"/>
    <x v="1"/>
  </r>
  <r>
    <x v="167"/>
    <x v="1"/>
    <x v="1"/>
    <n v="100000"/>
    <x v="3"/>
    <x v="2"/>
    <x v="4"/>
    <x v="0"/>
    <n v="3"/>
    <x v="4"/>
    <x v="1"/>
    <x v="11"/>
    <x v="0"/>
    <x v="0"/>
  </r>
  <r>
    <x v="168"/>
    <x v="1"/>
    <x v="1"/>
    <n v="70000"/>
    <x v="3"/>
    <x v="0"/>
    <x v="2"/>
    <x v="1"/>
    <n v="1"/>
    <x v="2"/>
    <x v="1"/>
    <x v="3"/>
    <x v="0"/>
    <x v="1"/>
  </r>
  <r>
    <x v="169"/>
    <x v="0"/>
    <x v="1"/>
    <n v="30000"/>
    <x v="0"/>
    <x v="0"/>
    <x v="1"/>
    <x v="0"/>
    <n v="0"/>
    <x v="0"/>
    <x v="0"/>
    <x v="15"/>
    <x v="0"/>
    <x v="0"/>
  </r>
  <r>
    <x v="170"/>
    <x v="0"/>
    <x v="0"/>
    <n v="130000"/>
    <x v="5"/>
    <x v="1"/>
    <x v="2"/>
    <x v="0"/>
    <n v="4"/>
    <x v="2"/>
    <x v="0"/>
    <x v="33"/>
    <x v="1"/>
    <x v="1"/>
  </r>
  <r>
    <x v="171"/>
    <x v="0"/>
    <x v="0"/>
    <n v="80000"/>
    <x v="2"/>
    <x v="0"/>
    <x v="4"/>
    <x v="0"/>
    <n v="2"/>
    <x v="1"/>
    <x v="0"/>
    <x v="33"/>
    <x v="1"/>
    <x v="0"/>
  </r>
  <r>
    <x v="172"/>
    <x v="0"/>
    <x v="1"/>
    <n v="10000"/>
    <x v="3"/>
    <x v="3"/>
    <x v="3"/>
    <x v="1"/>
    <n v="2"/>
    <x v="0"/>
    <x v="0"/>
    <x v="6"/>
    <x v="0"/>
    <x v="0"/>
  </r>
  <r>
    <x v="173"/>
    <x v="0"/>
    <x v="0"/>
    <n v="10000"/>
    <x v="3"/>
    <x v="1"/>
    <x v="3"/>
    <x v="0"/>
    <n v="1"/>
    <x v="1"/>
    <x v="1"/>
    <x v="40"/>
    <x v="2"/>
    <x v="0"/>
  </r>
  <r>
    <x v="174"/>
    <x v="1"/>
    <x v="1"/>
    <n v="50000"/>
    <x v="3"/>
    <x v="4"/>
    <x v="0"/>
    <x v="0"/>
    <n v="0"/>
    <x v="0"/>
    <x v="0"/>
    <x v="34"/>
    <x v="0"/>
    <x v="1"/>
  </r>
  <r>
    <x v="175"/>
    <x v="1"/>
    <x v="0"/>
    <n v="80000"/>
    <x v="4"/>
    <x v="1"/>
    <x v="0"/>
    <x v="0"/>
    <n v="2"/>
    <x v="2"/>
    <x v="1"/>
    <x v="31"/>
    <x v="0"/>
    <x v="1"/>
  </r>
  <r>
    <x v="176"/>
    <x v="1"/>
    <x v="0"/>
    <n v="20000"/>
    <x v="3"/>
    <x v="1"/>
    <x v="3"/>
    <x v="0"/>
    <n v="0"/>
    <x v="0"/>
    <x v="1"/>
    <x v="19"/>
    <x v="2"/>
    <x v="1"/>
  </r>
  <r>
    <x v="177"/>
    <x v="1"/>
    <x v="0"/>
    <n v="110000"/>
    <x v="4"/>
    <x v="1"/>
    <x v="2"/>
    <x v="1"/>
    <n v="3"/>
    <x v="2"/>
    <x v="0"/>
    <x v="28"/>
    <x v="0"/>
    <x v="0"/>
  </r>
  <r>
    <x v="178"/>
    <x v="0"/>
    <x v="1"/>
    <n v="160000"/>
    <x v="5"/>
    <x v="1"/>
    <x v="2"/>
    <x v="1"/>
    <n v="2"/>
    <x v="4"/>
    <x v="0"/>
    <x v="10"/>
    <x v="0"/>
    <x v="1"/>
  </r>
  <r>
    <x v="179"/>
    <x v="0"/>
    <x v="0"/>
    <n v="10000"/>
    <x v="3"/>
    <x v="4"/>
    <x v="3"/>
    <x v="0"/>
    <n v="0"/>
    <x v="0"/>
    <x v="0"/>
    <x v="34"/>
    <x v="0"/>
    <x v="1"/>
  </r>
  <r>
    <x v="180"/>
    <x v="1"/>
    <x v="1"/>
    <n v="10000"/>
    <x v="0"/>
    <x v="4"/>
    <x v="3"/>
    <x v="0"/>
    <n v="0"/>
    <x v="0"/>
    <x v="0"/>
    <x v="20"/>
    <x v="0"/>
    <x v="0"/>
  </r>
  <r>
    <x v="181"/>
    <x v="0"/>
    <x v="0"/>
    <n v="30000"/>
    <x v="1"/>
    <x v="1"/>
    <x v="1"/>
    <x v="1"/>
    <n v="2"/>
    <x v="3"/>
    <x v="1"/>
    <x v="10"/>
    <x v="0"/>
    <x v="1"/>
  </r>
  <r>
    <x v="182"/>
    <x v="0"/>
    <x v="0"/>
    <n v="10000"/>
    <x v="4"/>
    <x v="2"/>
    <x v="3"/>
    <x v="1"/>
    <n v="1"/>
    <x v="0"/>
    <x v="0"/>
    <x v="13"/>
    <x v="0"/>
    <x v="0"/>
  </r>
  <r>
    <x v="183"/>
    <x v="1"/>
    <x v="1"/>
    <n v="40000"/>
    <x v="4"/>
    <x v="0"/>
    <x v="4"/>
    <x v="0"/>
    <n v="2"/>
    <x v="2"/>
    <x v="1"/>
    <x v="29"/>
    <x v="1"/>
    <x v="1"/>
  </r>
  <r>
    <x v="184"/>
    <x v="0"/>
    <x v="0"/>
    <n v="130000"/>
    <x v="5"/>
    <x v="2"/>
    <x v="4"/>
    <x v="1"/>
    <n v="4"/>
    <x v="4"/>
    <x v="0"/>
    <x v="7"/>
    <x v="1"/>
    <x v="0"/>
  </r>
  <r>
    <x v="185"/>
    <x v="0"/>
    <x v="0"/>
    <n v="90000"/>
    <x v="0"/>
    <x v="0"/>
    <x v="2"/>
    <x v="0"/>
    <n v="1"/>
    <x v="1"/>
    <x v="1"/>
    <x v="15"/>
    <x v="0"/>
    <x v="1"/>
  </r>
  <r>
    <x v="186"/>
    <x v="0"/>
    <x v="0"/>
    <n v="30000"/>
    <x v="1"/>
    <x v="2"/>
    <x v="0"/>
    <x v="1"/>
    <n v="2"/>
    <x v="3"/>
    <x v="1"/>
    <x v="16"/>
    <x v="1"/>
    <x v="1"/>
  </r>
  <r>
    <x v="187"/>
    <x v="1"/>
    <x v="1"/>
    <n v="80000"/>
    <x v="2"/>
    <x v="1"/>
    <x v="2"/>
    <x v="1"/>
    <n v="2"/>
    <x v="4"/>
    <x v="0"/>
    <x v="14"/>
    <x v="1"/>
    <x v="0"/>
  </r>
  <r>
    <x v="188"/>
    <x v="0"/>
    <x v="0"/>
    <n v="70000"/>
    <x v="3"/>
    <x v="0"/>
    <x v="2"/>
    <x v="0"/>
    <n v="4"/>
    <x v="4"/>
    <x v="1"/>
    <x v="21"/>
    <x v="0"/>
    <x v="1"/>
  </r>
  <r>
    <x v="189"/>
    <x v="0"/>
    <x v="1"/>
    <n v="30000"/>
    <x v="0"/>
    <x v="1"/>
    <x v="1"/>
    <x v="0"/>
    <n v="1"/>
    <x v="0"/>
    <x v="0"/>
    <x v="20"/>
    <x v="0"/>
    <x v="1"/>
  </r>
  <r>
    <x v="190"/>
    <x v="0"/>
    <x v="1"/>
    <n v="30000"/>
    <x v="1"/>
    <x v="2"/>
    <x v="0"/>
    <x v="0"/>
    <n v="2"/>
    <x v="2"/>
    <x v="1"/>
    <x v="10"/>
    <x v="0"/>
    <x v="0"/>
  </r>
  <r>
    <x v="191"/>
    <x v="1"/>
    <x v="1"/>
    <n v="90000"/>
    <x v="4"/>
    <x v="2"/>
    <x v="3"/>
    <x v="0"/>
    <n v="0"/>
    <x v="0"/>
    <x v="0"/>
    <x v="4"/>
    <x v="0"/>
    <x v="1"/>
  </r>
  <r>
    <x v="192"/>
    <x v="1"/>
    <x v="0"/>
    <n v="80000"/>
    <x v="2"/>
    <x v="0"/>
    <x v="4"/>
    <x v="0"/>
    <n v="2"/>
    <x v="4"/>
    <x v="0"/>
    <x v="24"/>
    <x v="1"/>
    <x v="0"/>
  </r>
  <r>
    <x v="193"/>
    <x v="0"/>
    <x v="0"/>
    <n v="70000"/>
    <x v="2"/>
    <x v="0"/>
    <x v="2"/>
    <x v="0"/>
    <n v="4"/>
    <x v="4"/>
    <x v="1"/>
    <x v="3"/>
    <x v="0"/>
    <x v="0"/>
  </r>
  <r>
    <x v="194"/>
    <x v="1"/>
    <x v="0"/>
    <n v="10000"/>
    <x v="3"/>
    <x v="3"/>
    <x v="3"/>
    <x v="1"/>
    <n v="2"/>
    <x v="0"/>
    <x v="0"/>
    <x v="21"/>
    <x v="0"/>
    <x v="0"/>
  </r>
  <r>
    <x v="195"/>
    <x v="1"/>
    <x v="1"/>
    <n v="20000"/>
    <x v="3"/>
    <x v="0"/>
    <x v="1"/>
    <x v="0"/>
    <n v="0"/>
    <x v="0"/>
    <x v="1"/>
    <x v="37"/>
    <x v="2"/>
    <x v="1"/>
  </r>
  <r>
    <x v="196"/>
    <x v="1"/>
    <x v="0"/>
    <n v="50000"/>
    <x v="3"/>
    <x v="4"/>
    <x v="0"/>
    <x v="0"/>
    <n v="0"/>
    <x v="3"/>
    <x v="0"/>
    <x v="4"/>
    <x v="0"/>
    <x v="0"/>
  </r>
  <r>
    <x v="197"/>
    <x v="0"/>
    <x v="1"/>
    <n v="60000"/>
    <x v="4"/>
    <x v="4"/>
    <x v="4"/>
    <x v="0"/>
    <n v="1"/>
    <x v="0"/>
    <x v="1"/>
    <x v="41"/>
    <x v="1"/>
    <x v="1"/>
  </r>
  <r>
    <x v="198"/>
    <x v="1"/>
    <x v="0"/>
    <n v="100000"/>
    <x v="3"/>
    <x v="4"/>
    <x v="4"/>
    <x v="1"/>
    <n v="1"/>
    <x v="3"/>
    <x v="1"/>
    <x v="32"/>
    <x v="0"/>
    <x v="1"/>
  </r>
  <r>
    <x v="199"/>
    <x v="1"/>
    <x v="1"/>
    <n v="80000"/>
    <x v="3"/>
    <x v="0"/>
    <x v="2"/>
    <x v="1"/>
    <n v="3"/>
    <x v="4"/>
    <x v="1"/>
    <x v="6"/>
    <x v="0"/>
    <x v="1"/>
  </r>
  <r>
    <x v="200"/>
    <x v="1"/>
    <x v="1"/>
    <n v="60000"/>
    <x v="3"/>
    <x v="0"/>
    <x v="2"/>
    <x v="1"/>
    <n v="3"/>
    <x v="1"/>
    <x v="1"/>
    <x v="23"/>
    <x v="0"/>
    <x v="0"/>
  </r>
  <r>
    <x v="201"/>
    <x v="0"/>
    <x v="1"/>
    <n v="10000"/>
    <x v="0"/>
    <x v="2"/>
    <x v="3"/>
    <x v="0"/>
    <n v="0"/>
    <x v="1"/>
    <x v="1"/>
    <x v="40"/>
    <x v="2"/>
    <x v="1"/>
  </r>
  <r>
    <x v="202"/>
    <x v="1"/>
    <x v="1"/>
    <n v="40000"/>
    <x v="4"/>
    <x v="1"/>
    <x v="1"/>
    <x v="0"/>
    <n v="0"/>
    <x v="3"/>
    <x v="0"/>
    <x v="6"/>
    <x v="0"/>
    <x v="1"/>
  </r>
  <r>
    <x v="203"/>
    <x v="1"/>
    <x v="0"/>
    <n v="60000"/>
    <x v="0"/>
    <x v="1"/>
    <x v="0"/>
    <x v="0"/>
    <n v="1"/>
    <x v="2"/>
    <x v="1"/>
    <x v="30"/>
    <x v="0"/>
    <x v="1"/>
  </r>
  <r>
    <x v="204"/>
    <x v="1"/>
    <x v="0"/>
    <n v="90000"/>
    <x v="1"/>
    <x v="2"/>
    <x v="2"/>
    <x v="1"/>
    <n v="1"/>
    <x v="1"/>
    <x v="0"/>
    <x v="36"/>
    <x v="0"/>
    <x v="0"/>
  </r>
  <r>
    <x v="205"/>
    <x v="0"/>
    <x v="1"/>
    <n v="30000"/>
    <x v="1"/>
    <x v="4"/>
    <x v="1"/>
    <x v="0"/>
    <n v="0"/>
    <x v="0"/>
    <x v="0"/>
    <x v="30"/>
    <x v="0"/>
    <x v="1"/>
  </r>
  <r>
    <x v="206"/>
    <x v="1"/>
    <x v="1"/>
    <n v="90000"/>
    <x v="2"/>
    <x v="1"/>
    <x v="2"/>
    <x v="1"/>
    <n v="2"/>
    <x v="4"/>
    <x v="0"/>
    <x v="24"/>
    <x v="1"/>
    <x v="0"/>
  </r>
  <r>
    <x v="207"/>
    <x v="1"/>
    <x v="0"/>
    <n v="20000"/>
    <x v="3"/>
    <x v="3"/>
    <x v="3"/>
    <x v="0"/>
    <n v="2"/>
    <x v="3"/>
    <x v="0"/>
    <x v="22"/>
    <x v="2"/>
    <x v="1"/>
  </r>
  <r>
    <x v="208"/>
    <x v="1"/>
    <x v="0"/>
    <n v="40000"/>
    <x v="3"/>
    <x v="4"/>
    <x v="1"/>
    <x v="0"/>
    <n v="0"/>
    <x v="0"/>
    <x v="0"/>
    <x v="34"/>
    <x v="0"/>
    <x v="1"/>
  </r>
  <r>
    <x v="209"/>
    <x v="1"/>
    <x v="0"/>
    <n v="30000"/>
    <x v="1"/>
    <x v="1"/>
    <x v="1"/>
    <x v="0"/>
    <n v="0"/>
    <x v="0"/>
    <x v="0"/>
    <x v="0"/>
    <x v="0"/>
    <x v="1"/>
  </r>
  <r>
    <x v="210"/>
    <x v="0"/>
    <x v="0"/>
    <n v="80000"/>
    <x v="5"/>
    <x v="4"/>
    <x v="4"/>
    <x v="0"/>
    <n v="1"/>
    <x v="0"/>
    <x v="1"/>
    <x v="4"/>
    <x v="0"/>
    <x v="0"/>
  </r>
  <r>
    <x v="211"/>
    <x v="0"/>
    <x v="0"/>
    <n v="50000"/>
    <x v="3"/>
    <x v="4"/>
    <x v="0"/>
    <x v="0"/>
    <n v="0"/>
    <x v="0"/>
    <x v="0"/>
    <x v="4"/>
    <x v="0"/>
    <x v="1"/>
  </r>
  <r>
    <x v="212"/>
    <x v="1"/>
    <x v="0"/>
    <n v="30000"/>
    <x v="3"/>
    <x v="1"/>
    <x v="1"/>
    <x v="1"/>
    <n v="1"/>
    <x v="1"/>
    <x v="0"/>
    <x v="25"/>
    <x v="2"/>
    <x v="0"/>
  </r>
  <r>
    <x v="213"/>
    <x v="1"/>
    <x v="1"/>
    <n v="70000"/>
    <x v="3"/>
    <x v="0"/>
    <x v="2"/>
    <x v="1"/>
    <n v="4"/>
    <x v="4"/>
    <x v="1"/>
    <x v="23"/>
    <x v="0"/>
    <x v="1"/>
  </r>
  <r>
    <x v="214"/>
    <x v="0"/>
    <x v="1"/>
    <n v="30000"/>
    <x v="0"/>
    <x v="0"/>
    <x v="1"/>
    <x v="0"/>
    <n v="0"/>
    <x v="0"/>
    <x v="0"/>
    <x v="27"/>
    <x v="1"/>
    <x v="1"/>
  </r>
  <r>
    <x v="215"/>
    <x v="1"/>
    <x v="1"/>
    <n v="80000"/>
    <x v="5"/>
    <x v="1"/>
    <x v="2"/>
    <x v="1"/>
    <n v="2"/>
    <x v="1"/>
    <x v="0"/>
    <x v="9"/>
    <x v="0"/>
    <x v="1"/>
  </r>
  <r>
    <x v="216"/>
    <x v="0"/>
    <x v="1"/>
    <n v="20000"/>
    <x v="4"/>
    <x v="3"/>
    <x v="1"/>
    <x v="0"/>
    <n v="3"/>
    <x v="2"/>
    <x v="1"/>
    <x v="9"/>
    <x v="0"/>
    <x v="0"/>
  </r>
  <r>
    <x v="217"/>
    <x v="1"/>
    <x v="0"/>
    <n v="20000"/>
    <x v="3"/>
    <x v="3"/>
    <x v="3"/>
    <x v="1"/>
    <n v="2"/>
    <x v="0"/>
    <x v="0"/>
    <x v="37"/>
    <x v="2"/>
    <x v="0"/>
  </r>
  <r>
    <x v="218"/>
    <x v="1"/>
    <x v="1"/>
    <n v="10000"/>
    <x v="0"/>
    <x v="0"/>
    <x v="3"/>
    <x v="0"/>
    <n v="0"/>
    <x v="0"/>
    <x v="0"/>
    <x v="28"/>
    <x v="0"/>
    <x v="0"/>
  </r>
  <r>
    <x v="219"/>
    <x v="1"/>
    <x v="1"/>
    <n v="10000"/>
    <x v="3"/>
    <x v="1"/>
    <x v="3"/>
    <x v="0"/>
    <n v="1"/>
    <x v="3"/>
    <x v="1"/>
    <x v="22"/>
    <x v="2"/>
    <x v="1"/>
  </r>
  <r>
    <x v="220"/>
    <x v="0"/>
    <x v="1"/>
    <n v="60000"/>
    <x v="0"/>
    <x v="0"/>
    <x v="2"/>
    <x v="0"/>
    <n v="1"/>
    <x v="2"/>
    <x v="1"/>
    <x v="1"/>
    <x v="0"/>
    <x v="1"/>
  </r>
  <r>
    <x v="221"/>
    <x v="1"/>
    <x v="1"/>
    <n v="10000"/>
    <x v="3"/>
    <x v="3"/>
    <x v="3"/>
    <x v="1"/>
    <n v="2"/>
    <x v="3"/>
    <x v="0"/>
    <x v="11"/>
    <x v="0"/>
    <x v="0"/>
  </r>
  <r>
    <x v="222"/>
    <x v="0"/>
    <x v="0"/>
    <n v="30000"/>
    <x v="1"/>
    <x v="1"/>
    <x v="1"/>
    <x v="1"/>
    <n v="0"/>
    <x v="0"/>
    <x v="0"/>
    <x v="0"/>
    <x v="0"/>
    <x v="0"/>
  </r>
  <r>
    <x v="223"/>
    <x v="1"/>
    <x v="0"/>
    <n v="70000"/>
    <x v="2"/>
    <x v="0"/>
    <x v="2"/>
    <x v="0"/>
    <n v="4"/>
    <x v="4"/>
    <x v="1"/>
    <x v="32"/>
    <x v="0"/>
    <x v="0"/>
  </r>
  <r>
    <x v="224"/>
    <x v="0"/>
    <x v="0"/>
    <n v="30000"/>
    <x v="4"/>
    <x v="1"/>
    <x v="1"/>
    <x v="1"/>
    <n v="2"/>
    <x v="0"/>
    <x v="1"/>
    <x v="41"/>
    <x v="1"/>
    <x v="0"/>
  </r>
  <r>
    <x v="225"/>
    <x v="0"/>
    <x v="1"/>
    <n v="20000"/>
    <x v="0"/>
    <x v="1"/>
    <x v="3"/>
    <x v="0"/>
    <n v="0"/>
    <x v="3"/>
    <x v="0"/>
    <x v="11"/>
    <x v="0"/>
    <x v="0"/>
  </r>
  <r>
    <x v="226"/>
    <x v="1"/>
    <x v="0"/>
    <n v="20000"/>
    <x v="1"/>
    <x v="2"/>
    <x v="3"/>
    <x v="0"/>
    <n v="1"/>
    <x v="0"/>
    <x v="0"/>
    <x v="0"/>
    <x v="0"/>
    <x v="1"/>
  </r>
  <r>
    <x v="227"/>
    <x v="0"/>
    <x v="1"/>
    <n v="10000"/>
    <x v="1"/>
    <x v="3"/>
    <x v="3"/>
    <x v="0"/>
    <n v="2"/>
    <x v="0"/>
    <x v="0"/>
    <x v="1"/>
    <x v="0"/>
    <x v="0"/>
  </r>
  <r>
    <x v="228"/>
    <x v="0"/>
    <x v="0"/>
    <n v="20000"/>
    <x v="0"/>
    <x v="4"/>
    <x v="1"/>
    <x v="0"/>
    <n v="0"/>
    <x v="0"/>
    <x v="0"/>
    <x v="12"/>
    <x v="0"/>
    <x v="0"/>
  </r>
  <r>
    <x v="229"/>
    <x v="1"/>
    <x v="1"/>
    <n v="80000"/>
    <x v="2"/>
    <x v="2"/>
    <x v="4"/>
    <x v="0"/>
    <n v="3"/>
    <x v="4"/>
    <x v="0"/>
    <x v="42"/>
    <x v="1"/>
    <x v="0"/>
  </r>
  <r>
    <x v="230"/>
    <x v="0"/>
    <x v="1"/>
    <n v="120000"/>
    <x v="5"/>
    <x v="1"/>
    <x v="4"/>
    <x v="0"/>
    <n v="3"/>
    <x v="4"/>
    <x v="0"/>
    <x v="16"/>
    <x v="1"/>
    <x v="0"/>
  </r>
  <r>
    <x v="231"/>
    <x v="0"/>
    <x v="0"/>
    <n v="40000"/>
    <x v="3"/>
    <x v="0"/>
    <x v="1"/>
    <x v="0"/>
    <n v="0"/>
    <x v="0"/>
    <x v="0"/>
    <x v="13"/>
    <x v="0"/>
    <x v="1"/>
  </r>
  <r>
    <x v="232"/>
    <x v="0"/>
    <x v="0"/>
    <n v="30000"/>
    <x v="5"/>
    <x v="4"/>
    <x v="1"/>
    <x v="0"/>
    <n v="0"/>
    <x v="0"/>
    <x v="0"/>
    <x v="12"/>
    <x v="0"/>
    <x v="0"/>
  </r>
  <r>
    <x v="233"/>
    <x v="0"/>
    <x v="1"/>
    <n v="20000"/>
    <x v="3"/>
    <x v="0"/>
    <x v="1"/>
    <x v="0"/>
    <n v="0"/>
    <x v="0"/>
    <x v="1"/>
    <x v="40"/>
    <x v="2"/>
    <x v="1"/>
  </r>
  <r>
    <x v="234"/>
    <x v="1"/>
    <x v="1"/>
    <n v="90000"/>
    <x v="3"/>
    <x v="0"/>
    <x v="2"/>
    <x v="1"/>
    <n v="4"/>
    <x v="4"/>
    <x v="1"/>
    <x v="11"/>
    <x v="0"/>
    <x v="1"/>
  </r>
  <r>
    <x v="235"/>
    <x v="0"/>
    <x v="0"/>
    <n v="10000"/>
    <x v="0"/>
    <x v="4"/>
    <x v="1"/>
    <x v="0"/>
    <n v="0"/>
    <x v="0"/>
    <x v="0"/>
    <x v="43"/>
    <x v="1"/>
    <x v="1"/>
  </r>
  <r>
    <x v="236"/>
    <x v="1"/>
    <x v="0"/>
    <n v="30000"/>
    <x v="2"/>
    <x v="4"/>
    <x v="1"/>
    <x v="0"/>
    <n v="0"/>
    <x v="0"/>
    <x v="0"/>
    <x v="20"/>
    <x v="0"/>
    <x v="1"/>
  </r>
  <r>
    <x v="237"/>
    <x v="0"/>
    <x v="0"/>
    <n v="10000"/>
    <x v="3"/>
    <x v="1"/>
    <x v="3"/>
    <x v="1"/>
    <n v="1"/>
    <x v="0"/>
    <x v="1"/>
    <x v="22"/>
    <x v="2"/>
    <x v="1"/>
  </r>
  <r>
    <x v="238"/>
    <x v="0"/>
    <x v="1"/>
    <n v="70000"/>
    <x v="2"/>
    <x v="1"/>
    <x v="0"/>
    <x v="0"/>
    <n v="3"/>
    <x v="2"/>
    <x v="1"/>
    <x v="30"/>
    <x v="0"/>
    <x v="0"/>
  </r>
  <r>
    <x v="239"/>
    <x v="1"/>
    <x v="0"/>
    <n v="30000"/>
    <x v="3"/>
    <x v="2"/>
    <x v="3"/>
    <x v="1"/>
    <n v="1"/>
    <x v="1"/>
    <x v="0"/>
    <x v="17"/>
    <x v="0"/>
    <x v="1"/>
  </r>
  <r>
    <x v="240"/>
    <x v="0"/>
    <x v="1"/>
    <n v="10000"/>
    <x v="0"/>
    <x v="4"/>
    <x v="3"/>
    <x v="0"/>
    <n v="0"/>
    <x v="0"/>
    <x v="0"/>
    <x v="34"/>
    <x v="0"/>
    <x v="0"/>
  </r>
  <r>
    <x v="241"/>
    <x v="1"/>
    <x v="0"/>
    <n v="30000"/>
    <x v="1"/>
    <x v="1"/>
    <x v="1"/>
    <x v="0"/>
    <n v="2"/>
    <x v="0"/>
    <x v="0"/>
    <x v="40"/>
    <x v="2"/>
    <x v="0"/>
  </r>
  <r>
    <x v="242"/>
    <x v="1"/>
    <x v="1"/>
    <n v="30000"/>
    <x v="0"/>
    <x v="0"/>
    <x v="1"/>
    <x v="1"/>
    <n v="1"/>
    <x v="0"/>
    <x v="0"/>
    <x v="32"/>
    <x v="0"/>
    <x v="1"/>
  </r>
  <r>
    <x v="243"/>
    <x v="1"/>
    <x v="0"/>
    <n v="20000"/>
    <x v="3"/>
    <x v="2"/>
    <x v="3"/>
    <x v="1"/>
    <n v="1"/>
    <x v="1"/>
    <x v="0"/>
    <x v="19"/>
    <x v="2"/>
    <x v="0"/>
  </r>
  <r>
    <x v="244"/>
    <x v="0"/>
    <x v="0"/>
    <n v="120000"/>
    <x v="1"/>
    <x v="0"/>
    <x v="4"/>
    <x v="1"/>
    <n v="2"/>
    <x v="4"/>
    <x v="0"/>
    <x v="31"/>
    <x v="0"/>
    <x v="1"/>
  </r>
  <r>
    <x v="245"/>
    <x v="0"/>
    <x v="1"/>
    <n v="110000"/>
    <x v="2"/>
    <x v="0"/>
    <x v="4"/>
    <x v="0"/>
    <n v="4"/>
    <x v="1"/>
    <x v="1"/>
    <x v="28"/>
    <x v="0"/>
    <x v="1"/>
  </r>
  <r>
    <x v="246"/>
    <x v="0"/>
    <x v="0"/>
    <n v="130000"/>
    <x v="1"/>
    <x v="1"/>
    <x v="2"/>
    <x v="0"/>
    <n v="3"/>
    <x v="0"/>
    <x v="0"/>
    <x v="36"/>
    <x v="0"/>
    <x v="1"/>
  </r>
  <r>
    <x v="247"/>
    <x v="0"/>
    <x v="0"/>
    <n v="100000"/>
    <x v="3"/>
    <x v="2"/>
    <x v="4"/>
    <x v="0"/>
    <n v="4"/>
    <x v="4"/>
    <x v="1"/>
    <x v="17"/>
    <x v="0"/>
    <x v="1"/>
  </r>
  <r>
    <x v="248"/>
    <x v="0"/>
    <x v="0"/>
    <n v="10000"/>
    <x v="2"/>
    <x v="2"/>
    <x v="0"/>
    <x v="1"/>
    <n v="3"/>
    <x v="3"/>
    <x v="1"/>
    <x v="24"/>
    <x v="1"/>
    <x v="0"/>
  </r>
  <r>
    <x v="249"/>
    <x v="1"/>
    <x v="1"/>
    <n v="70000"/>
    <x v="3"/>
    <x v="0"/>
    <x v="2"/>
    <x v="0"/>
    <n v="1"/>
    <x v="2"/>
    <x v="1"/>
    <x v="34"/>
    <x v="0"/>
    <x v="1"/>
  </r>
  <r>
    <x v="250"/>
    <x v="0"/>
    <x v="1"/>
    <n v="100000"/>
    <x v="2"/>
    <x v="4"/>
    <x v="4"/>
    <x v="1"/>
    <n v="1"/>
    <x v="3"/>
    <x v="1"/>
    <x v="44"/>
    <x v="1"/>
    <x v="1"/>
  </r>
  <r>
    <x v="251"/>
    <x v="0"/>
    <x v="1"/>
    <n v="130000"/>
    <x v="5"/>
    <x v="2"/>
    <x v="2"/>
    <x v="0"/>
    <n v="3"/>
    <x v="0"/>
    <x v="0"/>
    <x v="10"/>
    <x v="0"/>
    <x v="0"/>
  </r>
  <r>
    <x v="252"/>
    <x v="1"/>
    <x v="1"/>
    <n v="60000"/>
    <x v="3"/>
    <x v="0"/>
    <x v="2"/>
    <x v="1"/>
    <n v="4"/>
    <x v="1"/>
    <x v="1"/>
    <x v="23"/>
    <x v="0"/>
    <x v="0"/>
  </r>
  <r>
    <x v="253"/>
    <x v="0"/>
    <x v="1"/>
    <n v="100000"/>
    <x v="1"/>
    <x v="3"/>
    <x v="2"/>
    <x v="0"/>
    <n v="0"/>
    <x v="4"/>
    <x v="0"/>
    <x v="14"/>
    <x v="1"/>
    <x v="1"/>
  </r>
  <r>
    <x v="254"/>
    <x v="1"/>
    <x v="1"/>
    <n v="20000"/>
    <x v="4"/>
    <x v="3"/>
    <x v="1"/>
    <x v="0"/>
    <n v="2"/>
    <x v="2"/>
    <x v="1"/>
    <x v="42"/>
    <x v="1"/>
    <x v="0"/>
  </r>
  <r>
    <x v="255"/>
    <x v="1"/>
    <x v="0"/>
    <n v="30000"/>
    <x v="1"/>
    <x v="4"/>
    <x v="1"/>
    <x v="0"/>
    <n v="0"/>
    <x v="0"/>
    <x v="0"/>
    <x v="15"/>
    <x v="0"/>
    <x v="1"/>
  </r>
  <r>
    <x v="256"/>
    <x v="0"/>
    <x v="1"/>
    <n v="20000"/>
    <x v="0"/>
    <x v="4"/>
    <x v="1"/>
    <x v="0"/>
    <n v="0"/>
    <x v="0"/>
    <x v="0"/>
    <x v="1"/>
    <x v="0"/>
    <x v="0"/>
  </r>
  <r>
    <x v="257"/>
    <x v="1"/>
    <x v="0"/>
    <n v="50000"/>
    <x v="3"/>
    <x v="4"/>
    <x v="0"/>
    <x v="0"/>
    <n v="0"/>
    <x v="0"/>
    <x v="0"/>
    <x v="4"/>
    <x v="0"/>
    <x v="1"/>
  </r>
  <r>
    <x v="258"/>
    <x v="1"/>
    <x v="0"/>
    <n v="100000"/>
    <x v="1"/>
    <x v="1"/>
    <x v="4"/>
    <x v="0"/>
    <n v="4"/>
    <x v="4"/>
    <x v="0"/>
    <x v="16"/>
    <x v="1"/>
    <x v="0"/>
  </r>
  <r>
    <x v="259"/>
    <x v="0"/>
    <x v="1"/>
    <n v="150000"/>
    <x v="3"/>
    <x v="0"/>
    <x v="4"/>
    <x v="0"/>
    <n v="4"/>
    <x v="0"/>
    <x v="1"/>
    <x v="34"/>
    <x v="0"/>
    <x v="1"/>
  </r>
  <r>
    <x v="260"/>
    <x v="1"/>
    <x v="0"/>
    <n v="30000"/>
    <x v="4"/>
    <x v="1"/>
    <x v="1"/>
    <x v="0"/>
    <n v="0"/>
    <x v="0"/>
    <x v="0"/>
    <x v="1"/>
    <x v="0"/>
    <x v="0"/>
  </r>
  <r>
    <x v="261"/>
    <x v="0"/>
    <x v="0"/>
    <n v="40000"/>
    <x v="0"/>
    <x v="0"/>
    <x v="0"/>
    <x v="0"/>
    <n v="1"/>
    <x v="3"/>
    <x v="0"/>
    <x v="6"/>
    <x v="0"/>
    <x v="1"/>
  </r>
  <r>
    <x v="262"/>
    <x v="0"/>
    <x v="0"/>
    <n v="10000"/>
    <x v="4"/>
    <x v="1"/>
    <x v="3"/>
    <x v="0"/>
    <n v="0"/>
    <x v="3"/>
    <x v="0"/>
    <x v="36"/>
    <x v="0"/>
    <x v="0"/>
  </r>
  <r>
    <x v="263"/>
    <x v="1"/>
    <x v="0"/>
    <n v="70000"/>
    <x v="2"/>
    <x v="0"/>
    <x v="2"/>
    <x v="0"/>
    <n v="3"/>
    <x v="4"/>
    <x v="1"/>
    <x v="32"/>
    <x v="0"/>
    <x v="0"/>
  </r>
  <r>
    <x v="264"/>
    <x v="0"/>
    <x v="1"/>
    <n v="40000"/>
    <x v="3"/>
    <x v="4"/>
    <x v="1"/>
    <x v="0"/>
    <n v="0"/>
    <x v="0"/>
    <x v="0"/>
    <x v="34"/>
    <x v="0"/>
    <x v="1"/>
  </r>
  <r>
    <x v="265"/>
    <x v="1"/>
    <x v="0"/>
    <n v="30000"/>
    <x v="4"/>
    <x v="1"/>
    <x v="1"/>
    <x v="0"/>
    <n v="2"/>
    <x v="0"/>
    <x v="0"/>
    <x v="0"/>
    <x v="0"/>
    <x v="0"/>
  </r>
  <r>
    <x v="266"/>
    <x v="1"/>
    <x v="0"/>
    <n v="20000"/>
    <x v="2"/>
    <x v="2"/>
    <x v="3"/>
    <x v="0"/>
    <n v="2"/>
    <x v="0"/>
    <x v="0"/>
    <x v="40"/>
    <x v="2"/>
    <x v="0"/>
  </r>
  <r>
    <x v="267"/>
    <x v="1"/>
    <x v="1"/>
    <n v="100000"/>
    <x v="2"/>
    <x v="0"/>
    <x v="2"/>
    <x v="0"/>
    <n v="1"/>
    <x v="2"/>
    <x v="1"/>
    <x v="15"/>
    <x v="0"/>
    <x v="1"/>
  </r>
  <r>
    <x v="268"/>
    <x v="0"/>
    <x v="1"/>
    <n v="70000"/>
    <x v="2"/>
    <x v="1"/>
    <x v="0"/>
    <x v="0"/>
    <n v="3"/>
    <x v="2"/>
    <x v="1"/>
    <x v="12"/>
    <x v="0"/>
    <x v="0"/>
  </r>
  <r>
    <x v="269"/>
    <x v="1"/>
    <x v="0"/>
    <n v="50000"/>
    <x v="3"/>
    <x v="4"/>
    <x v="0"/>
    <x v="1"/>
    <n v="0"/>
    <x v="0"/>
    <x v="0"/>
    <x v="34"/>
    <x v="0"/>
    <x v="1"/>
  </r>
  <r>
    <x v="270"/>
    <x v="1"/>
    <x v="0"/>
    <n v="10000"/>
    <x v="4"/>
    <x v="1"/>
    <x v="3"/>
    <x v="0"/>
    <n v="0"/>
    <x v="0"/>
    <x v="0"/>
    <x v="36"/>
    <x v="0"/>
    <x v="1"/>
  </r>
  <r>
    <x v="271"/>
    <x v="1"/>
    <x v="0"/>
    <n v="20000"/>
    <x v="3"/>
    <x v="2"/>
    <x v="3"/>
    <x v="1"/>
    <n v="1"/>
    <x v="3"/>
    <x v="0"/>
    <x v="26"/>
    <x v="2"/>
    <x v="0"/>
  </r>
  <r>
    <x v="272"/>
    <x v="0"/>
    <x v="1"/>
    <n v="10000"/>
    <x v="5"/>
    <x v="3"/>
    <x v="3"/>
    <x v="0"/>
    <n v="1"/>
    <x v="0"/>
    <x v="0"/>
    <x v="8"/>
    <x v="0"/>
    <x v="1"/>
  </r>
  <r>
    <x v="273"/>
    <x v="1"/>
    <x v="0"/>
    <n v="20000"/>
    <x v="3"/>
    <x v="2"/>
    <x v="3"/>
    <x v="1"/>
    <n v="1"/>
    <x v="1"/>
    <x v="0"/>
    <x v="25"/>
    <x v="2"/>
    <x v="0"/>
  </r>
  <r>
    <x v="274"/>
    <x v="0"/>
    <x v="0"/>
    <n v="30000"/>
    <x v="3"/>
    <x v="0"/>
    <x v="1"/>
    <x v="1"/>
    <n v="0"/>
    <x v="0"/>
    <x v="0"/>
    <x v="4"/>
    <x v="0"/>
    <x v="1"/>
  </r>
  <r>
    <x v="275"/>
    <x v="0"/>
    <x v="0"/>
    <n v="90000"/>
    <x v="0"/>
    <x v="4"/>
    <x v="4"/>
    <x v="0"/>
    <n v="0"/>
    <x v="0"/>
    <x v="1"/>
    <x v="34"/>
    <x v="0"/>
    <x v="1"/>
  </r>
  <r>
    <x v="276"/>
    <x v="0"/>
    <x v="0"/>
    <n v="10000"/>
    <x v="4"/>
    <x v="1"/>
    <x v="3"/>
    <x v="0"/>
    <n v="0"/>
    <x v="3"/>
    <x v="0"/>
    <x v="38"/>
    <x v="0"/>
    <x v="0"/>
  </r>
  <r>
    <x v="277"/>
    <x v="0"/>
    <x v="0"/>
    <n v="10000"/>
    <x v="4"/>
    <x v="2"/>
    <x v="3"/>
    <x v="0"/>
    <n v="0"/>
    <x v="0"/>
    <x v="0"/>
    <x v="34"/>
    <x v="0"/>
    <x v="1"/>
  </r>
  <r>
    <x v="278"/>
    <x v="0"/>
    <x v="1"/>
    <n v="100000"/>
    <x v="3"/>
    <x v="2"/>
    <x v="4"/>
    <x v="0"/>
    <n v="3"/>
    <x v="4"/>
    <x v="1"/>
    <x v="11"/>
    <x v="0"/>
    <x v="1"/>
  </r>
  <r>
    <x v="279"/>
    <x v="1"/>
    <x v="1"/>
    <n v="30000"/>
    <x v="0"/>
    <x v="0"/>
    <x v="1"/>
    <x v="1"/>
    <n v="0"/>
    <x v="0"/>
    <x v="0"/>
    <x v="13"/>
    <x v="0"/>
    <x v="1"/>
  </r>
  <r>
    <x v="280"/>
    <x v="1"/>
    <x v="0"/>
    <n v="10000"/>
    <x v="1"/>
    <x v="3"/>
    <x v="3"/>
    <x v="0"/>
    <n v="2"/>
    <x v="0"/>
    <x v="0"/>
    <x v="1"/>
    <x v="0"/>
    <x v="0"/>
  </r>
  <r>
    <x v="281"/>
    <x v="1"/>
    <x v="1"/>
    <n v="20000"/>
    <x v="0"/>
    <x v="1"/>
    <x v="3"/>
    <x v="1"/>
    <n v="0"/>
    <x v="0"/>
    <x v="0"/>
    <x v="34"/>
    <x v="0"/>
    <x v="0"/>
  </r>
  <r>
    <x v="282"/>
    <x v="1"/>
    <x v="1"/>
    <n v="10000"/>
    <x v="3"/>
    <x v="3"/>
    <x v="3"/>
    <x v="1"/>
    <n v="2"/>
    <x v="0"/>
    <x v="0"/>
    <x v="17"/>
    <x v="0"/>
    <x v="0"/>
  </r>
  <r>
    <x v="283"/>
    <x v="0"/>
    <x v="0"/>
    <n v="70000"/>
    <x v="2"/>
    <x v="1"/>
    <x v="0"/>
    <x v="1"/>
    <n v="3"/>
    <x v="2"/>
    <x v="1"/>
    <x v="30"/>
    <x v="0"/>
    <x v="0"/>
  </r>
  <r>
    <x v="284"/>
    <x v="1"/>
    <x v="1"/>
    <n v="10000"/>
    <x v="0"/>
    <x v="1"/>
    <x v="3"/>
    <x v="0"/>
    <n v="0"/>
    <x v="0"/>
    <x v="0"/>
    <x v="38"/>
    <x v="0"/>
    <x v="0"/>
  </r>
  <r>
    <x v="285"/>
    <x v="0"/>
    <x v="0"/>
    <n v="60000"/>
    <x v="0"/>
    <x v="1"/>
    <x v="0"/>
    <x v="0"/>
    <n v="1"/>
    <x v="2"/>
    <x v="1"/>
    <x v="12"/>
    <x v="0"/>
    <x v="0"/>
  </r>
  <r>
    <x v="286"/>
    <x v="1"/>
    <x v="0"/>
    <n v="100000"/>
    <x v="0"/>
    <x v="0"/>
    <x v="4"/>
    <x v="0"/>
    <n v="4"/>
    <x v="1"/>
    <x v="1"/>
    <x v="28"/>
    <x v="0"/>
    <x v="0"/>
  </r>
  <r>
    <x v="287"/>
    <x v="1"/>
    <x v="0"/>
    <n v="30000"/>
    <x v="1"/>
    <x v="4"/>
    <x v="1"/>
    <x v="1"/>
    <n v="0"/>
    <x v="0"/>
    <x v="0"/>
    <x v="30"/>
    <x v="0"/>
    <x v="1"/>
  </r>
  <r>
    <x v="288"/>
    <x v="0"/>
    <x v="1"/>
    <n v="130000"/>
    <x v="3"/>
    <x v="4"/>
    <x v="4"/>
    <x v="0"/>
    <n v="0"/>
    <x v="2"/>
    <x v="1"/>
    <x v="28"/>
    <x v="0"/>
    <x v="0"/>
  </r>
  <r>
    <x v="289"/>
    <x v="0"/>
    <x v="1"/>
    <n v="30000"/>
    <x v="1"/>
    <x v="2"/>
    <x v="0"/>
    <x v="0"/>
    <n v="2"/>
    <x v="2"/>
    <x v="1"/>
    <x v="9"/>
    <x v="0"/>
    <x v="1"/>
  </r>
  <r>
    <x v="290"/>
    <x v="1"/>
    <x v="0"/>
    <n v="60000"/>
    <x v="0"/>
    <x v="1"/>
    <x v="0"/>
    <x v="1"/>
    <n v="1"/>
    <x v="0"/>
    <x v="1"/>
    <x v="30"/>
    <x v="0"/>
    <x v="1"/>
  </r>
  <r>
    <x v="291"/>
    <x v="0"/>
    <x v="1"/>
    <n v="40000"/>
    <x v="3"/>
    <x v="0"/>
    <x v="1"/>
    <x v="1"/>
    <n v="0"/>
    <x v="0"/>
    <x v="0"/>
    <x v="13"/>
    <x v="0"/>
    <x v="1"/>
  </r>
  <r>
    <x v="292"/>
    <x v="0"/>
    <x v="0"/>
    <n v="40000"/>
    <x v="0"/>
    <x v="0"/>
    <x v="0"/>
    <x v="0"/>
    <n v="0"/>
    <x v="0"/>
    <x v="0"/>
    <x v="0"/>
    <x v="0"/>
    <x v="1"/>
  </r>
  <r>
    <x v="293"/>
    <x v="1"/>
    <x v="0"/>
    <n v="10000"/>
    <x v="0"/>
    <x v="2"/>
    <x v="3"/>
    <x v="1"/>
    <n v="1"/>
    <x v="1"/>
    <x v="0"/>
    <x v="30"/>
    <x v="0"/>
    <x v="1"/>
  </r>
  <r>
    <x v="294"/>
    <x v="1"/>
    <x v="1"/>
    <n v="20000"/>
    <x v="3"/>
    <x v="1"/>
    <x v="3"/>
    <x v="1"/>
    <n v="1"/>
    <x v="1"/>
    <x v="0"/>
    <x v="4"/>
    <x v="0"/>
    <x v="1"/>
  </r>
  <r>
    <x v="295"/>
    <x v="1"/>
    <x v="0"/>
    <n v="110000"/>
    <x v="3"/>
    <x v="1"/>
    <x v="4"/>
    <x v="0"/>
    <n v="3"/>
    <x v="4"/>
    <x v="1"/>
    <x v="21"/>
    <x v="0"/>
    <x v="1"/>
  </r>
  <r>
    <x v="296"/>
    <x v="1"/>
    <x v="0"/>
    <n v="60000"/>
    <x v="4"/>
    <x v="0"/>
    <x v="2"/>
    <x v="1"/>
    <n v="1"/>
    <x v="0"/>
    <x v="1"/>
    <x v="32"/>
    <x v="0"/>
    <x v="1"/>
  </r>
  <r>
    <x v="297"/>
    <x v="0"/>
    <x v="1"/>
    <n v="100000"/>
    <x v="0"/>
    <x v="4"/>
    <x v="4"/>
    <x v="0"/>
    <n v="0"/>
    <x v="1"/>
    <x v="1"/>
    <x v="4"/>
    <x v="0"/>
    <x v="1"/>
  </r>
  <r>
    <x v="298"/>
    <x v="0"/>
    <x v="0"/>
    <n v="90000"/>
    <x v="5"/>
    <x v="2"/>
    <x v="2"/>
    <x v="1"/>
    <n v="2"/>
    <x v="1"/>
    <x v="0"/>
    <x v="9"/>
    <x v="0"/>
    <x v="1"/>
  </r>
  <r>
    <x v="299"/>
    <x v="0"/>
    <x v="0"/>
    <n v="30000"/>
    <x v="4"/>
    <x v="1"/>
    <x v="1"/>
    <x v="1"/>
    <n v="2"/>
    <x v="2"/>
    <x v="1"/>
    <x v="45"/>
    <x v="1"/>
    <x v="0"/>
  </r>
  <r>
    <x v="300"/>
    <x v="1"/>
    <x v="0"/>
    <n v="10000"/>
    <x v="2"/>
    <x v="2"/>
    <x v="0"/>
    <x v="1"/>
    <n v="2"/>
    <x v="3"/>
    <x v="1"/>
    <x v="24"/>
    <x v="1"/>
    <x v="0"/>
  </r>
  <r>
    <x v="301"/>
    <x v="1"/>
    <x v="0"/>
    <n v="40000"/>
    <x v="3"/>
    <x v="0"/>
    <x v="1"/>
    <x v="1"/>
    <n v="0"/>
    <x v="0"/>
    <x v="1"/>
    <x v="26"/>
    <x v="2"/>
    <x v="1"/>
  </r>
  <r>
    <x v="302"/>
    <x v="1"/>
    <x v="1"/>
    <n v="30000"/>
    <x v="0"/>
    <x v="0"/>
    <x v="1"/>
    <x v="0"/>
    <n v="0"/>
    <x v="0"/>
    <x v="0"/>
    <x v="24"/>
    <x v="1"/>
    <x v="1"/>
  </r>
  <r>
    <x v="303"/>
    <x v="0"/>
    <x v="0"/>
    <n v="30000"/>
    <x v="0"/>
    <x v="0"/>
    <x v="0"/>
    <x v="0"/>
    <n v="2"/>
    <x v="0"/>
    <x v="0"/>
    <x v="8"/>
    <x v="0"/>
    <x v="0"/>
  </r>
  <r>
    <x v="304"/>
    <x v="0"/>
    <x v="1"/>
    <n v="80000"/>
    <x v="5"/>
    <x v="4"/>
    <x v="4"/>
    <x v="0"/>
    <n v="1"/>
    <x v="0"/>
    <x v="1"/>
    <x v="4"/>
    <x v="0"/>
    <x v="1"/>
  </r>
  <r>
    <x v="305"/>
    <x v="1"/>
    <x v="1"/>
    <n v="10000"/>
    <x v="4"/>
    <x v="3"/>
    <x v="1"/>
    <x v="0"/>
    <n v="2"/>
    <x v="2"/>
    <x v="1"/>
    <x v="7"/>
    <x v="1"/>
    <x v="0"/>
  </r>
  <r>
    <x v="306"/>
    <x v="0"/>
    <x v="1"/>
    <n v="90000"/>
    <x v="4"/>
    <x v="0"/>
    <x v="2"/>
    <x v="0"/>
    <n v="0"/>
    <x v="3"/>
    <x v="1"/>
    <x v="8"/>
    <x v="0"/>
    <x v="1"/>
  </r>
  <r>
    <x v="307"/>
    <x v="0"/>
    <x v="1"/>
    <n v="10000"/>
    <x v="4"/>
    <x v="0"/>
    <x v="1"/>
    <x v="0"/>
    <n v="1"/>
    <x v="0"/>
    <x v="0"/>
    <x v="29"/>
    <x v="1"/>
    <x v="0"/>
  </r>
  <r>
    <x v="308"/>
    <x v="0"/>
    <x v="1"/>
    <n v="40000"/>
    <x v="4"/>
    <x v="1"/>
    <x v="1"/>
    <x v="0"/>
    <n v="1"/>
    <x v="3"/>
    <x v="0"/>
    <x v="11"/>
    <x v="0"/>
    <x v="1"/>
  </r>
  <r>
    <x v="309"/>
    <x v="0"/>
    <x v="0"/>
    <n v="20000"/>
    <x v="4"/>
    <x v="1"/>
    <x v="3"/>
    <x v="0"/>
    <n v="1"/>
    <x v="1"/>
    <x v="0"/>
    <x v="15"/>
    <x v="0"/>
    <x v="1"/>
  </r>
  <r>
    <x v="310"/>
    <x v="0"/>
    <x v="1"/>
    <n v="120000"/>
    <x v="5"/>
    <x v="0"/>
    <x v="4"/>
    <x v="0"/>
    <n v="1"/>
    <x v="1"/>
    <x v="1"/>
    <x v="15"/>
    <x v="0"/>
    <x v="0"/>
  </r>
  <r>
    <x v="311"/>
    <x v="0"/>
    <x v="1"/>
    <n v="60000"/>
    <x v="0"/>
    <x v="1"/>
    <x v="0"/>
    <x v="0"/>
    <n v="1"/>
    <x v="2"/>
    <x v="1"/>
    <x v="30"/>
    <x v="0"/>
    <x v="0"/>
  </r>
  <r>
    <x v="312"/>
    <x v="0"/>
    <x v="1"/>
    <n v="20000"/>
    <x v="5"/>
    <x v="2"/>
    <x v="0"/>
    <x v="0"/>
    <n v="2"/>
    <x v="2"/>
    <x v="1"/>
    <x v="7"/>
    <x v="1"/>
    <x v="1"/>
  </r>
  <r>
    <x v="313"/>
    <x v="1"/>
    <x v="1"/>
    <n v="40000"/>
    <x v="1"/>
    <x v="3"/>
    <x v="1"/>
    <x v="1"/>
    <n v="2"/>
    <x v="2"/>
    <x v="1"/>
    <x v="31"/>
    <x v="0"/>
    <x v="1"/>
  </r>
  <r>
    <x v="314"/>
    <x v="0"/>
    <x v="1"/>
    <n v="80000"/>
    <x v="2"/>
    <x v="0"/>
    <x v="2"/>
    <x v="1"/>
    <n v="1"/>
    <x v="0"/>
    <x v="1"/>
    <x v="15"/>
    <x v="0"/>
    <x v="1"/>
  </r>
  <r>
    <x v="315"/>
    <x v="1"/>
    <x v="1"/>
    <n v="70000"/>
    <x v="3"/>
    <x v="0"/>
    <x v="2"/>
    <x v="1"/>
    <n v="1"/>
    <x v="2"/>
    <x v="1"/>
    <x v="3"/>
    <x v="0"/>
    <x v="0"/>
  </r>
  <r>
    <x v="316"/>
    <x v="0"/>
    <x v="1"/>
    <n v="50000"/>
    <x v="4"/>
    <x v="4"/>
    <x v="4"/>
    <x v="0"/>
    <n v="1"/>
    <x v="2"/>
    <x v="1"/>
    <x v="46"/>
    <x v="1"/>
    <x v="1"/>
  </r>
  <r>
    <x v="317"/>
    <x v="0"/>
    <x v="1"/>
    <n v="30000"/>
    <x v="3"/>
    <x v="0"/>
    <x v="1"/>
    <x v="0"/>
    <n v="0"/>
    <x v="0"/>
    <x v="0"/>
    <x v="11"/>
    <x v="0"/>
    <x v="1"/>
  </r>
  <r>
    <x v="318"/>
    <x v="0"/>
    <x v="1"/>
    <n v="130000"/>
    <x v="5"/>
    <x v="1"/>
    <x v="2"/>
    <x v="1"/>
    <n v="3"/>
    <x v="4"/>
    <x v="0"/>
    <x v="9"/>
    <x v="0"/>
    <x v="0"/>
  </r>
  <r>
    <x v="319"/>
    <x v="0"/>
    <x v="0"/>
    <n v="30000"/>
    <x v="1"/>
    <x v="0"/>
    <x v="1"/>
    <x v="0"/>
    <n v="0"/>
    <x v="0"/>
    <x v="0"/>
    <x v="12"/>
    <x v="0"/>
    <x v="0"/>
  </r>
  <r>
    <x v="320"/>
    <x v="0"/>
    <x v="1"/>
    <n v="100000"/>
    <x v="3"/>
    <x v="4"/>
    <x v="4"/>
    <x v="0"/>
    <n v="0"/>
    <x v="1"/>
    <x v="1"/>
    <x v="8"/>
    <x v="0"/>
    <x v="1"/>
  </r>
  <r>
    <x v="321"/>
    <x v="1"/>
    <x v="0"/>
    <n v="160000"/>
    <x v="3"/>
    <x v="4"/>
    <x v="4"/>
    <x v="1"/>
    <n v="3"/>
    <x v="0"/>
    <x v="1"/>
    <x v="15"/>
    <x v="0"/>
    <x v="1"/>
  </r>
  <r>
    <x v="322"/>
    <x v="1"/>
    <x v="0"/>
    <n v="10000"/>
    <x v="5"/>
    <x v="3"/>
    <x v="3"/>
    <x v="0"/>
    <n v="2"/>
    <x v="0"/>
    <x v="0"/>
    <x v="3"/>
    <x v="0"/>
    <x v="1"/>
  </r>
  <r>
    <x v="323"/>
    <x v="1"/>
    <x v="0"/>
    <n v="40000"/>
    <x v="3"/>
    <x v="4"/>
    <x v="1"/>
    <x v="1"/>
    <n v="0"/>
    <x v="0"/>
    <x v="0"/>
    <x v="34"/>
    <x v="0"/>
    <x v="1"/>
  </r>
  <r>
    <x v="324"/>
    <x v="0"/>
    <x v="1"/>
    <n v="90000"/>
    <x v="5"/>
    <x v="0"/>
    <x v="2"/>
    <x v="0"/>
    <n v="0"/>
    <x v="3"/>
    <x v="1"/>
    <x v="13"/>
    <x v="0"/>
    <x v="1"/>
  </r>
  <r>
    <x v="325"/>
    <x v="1"/>
    <x v="1"/>
    <n v="40000"/>
    <x v="4"/>
    <x v="1"/>
    <x v="1"/>
    <x v="1"/>
    <n v="2"/>
    <x v="0"/>
    <x v="0"/>
    <x v="4"/>
    <x v="0"/>
    <x v="1"/>
  </r>
  <r>
    <x v="326"/>
    <x v="0"/>
    <x v="0"/>
    <n v="20000"/>
    <x v="3"/>
    <x v="0"/>
    <x v="1"/>
    <x v="1"/>
    <n v="0"/>
    <x v="0"/>
    <x v="1"/>
    <x v="22"/>
    <x v="2"/>
    <x v="1"/>
  </r>
  <r>
    <x v="327"/>
    <x v="0"/>
    <x v="1"/>
    <n v="30000"/>
    <x v="0"/>
    <x v="0"/>
    <x v="0"/>
    <x v="0"/>
    <n v="2"/>
    <x v="0"/>
    <x v="0"/>
    <x v="8"/>
    <x v="0"/>
    <x v="0"/>
  </r>
  <r>
    <x v="328"/>
    <x v="1"/>
    <x v="1"/>
    <n v="40000"/>
    <x v="4"/>
    <x v="1"/>
    <x v="1"/>
    <x v="0"/>
    <n v="2"/>
    <x v="3"/>
    <x v="0"/>
    <x v="4"/>
    <x v="0"/>
    <x v="0"/>
  </r>
  <r>
    <x v="329"/>
    <x v="0"/>
    <x v="0"/>
    <n v="90000"/>
    <x v="2"/>
    <x v="3"/>
    <x v="0"/>
    <x v="0"/>
    <n v="2"/>
    <x v="4"/>
    <x v="0"/>
    <x v="14"/>
    <x v="1"/>
    <x v="0"/>
  </r>
  <r>
    <x v="330"/>
    <x v="1"/>
    <x v="0"/>
    <n v="80000"/>
    <x v="3"/>
    <x v="0"/>
    <x v="2"/>
    <x v="0"/>
    <n v="3"/>
    <x v="4"/>
    <x v="1"/>
    <x v="21"/>
    <x v="0"/>
    <x v="0"/>
  </r>
  <r>
    <x v="331"/>
    <x v="0"/>
    <x v="1"/>
    <n v="10000"/>
    <x v="3"/>
    <x v="3"/>
    <x v="3"/>
    <x v="1"/>
    <n v="2"/>
    <x v="0"/>
    <x v="0"/>
    <x v="25"/>
    <x v="2"/>
    <x v="0"/>
  </r>
  <r>
    <x v="332"/>
    <x v="1"/>
    <x v="0"/>
    <n v="20000"/>
    <x v="3"/>
    <x v="3"/>
    <x v="3"/>
    <x v="1"/>
    <n v="2"/>
    <x v="3"/>
    <x v="0"/>
    <x v="11"/>
    <x v="0"/>
    <x v="1"/>
  </r>
  <r>
    <x v="333"/>
    <x v="0"/>
    <x v="1"/>
    <n v="130000"/>
    <x v="1"/>
    <x v="2"/>
    <x v="2"/>
    <x v="0"/>
    <n v="4"/>
    <x v="2"/>
    <x v="0"/>
    <x v="36"/>
    <x v="0"/>
    <x v="1"/>
  </r>
  <r>
    <x v="334"/>
    <x v="0"/>
    <x v="1"/>
    <n v="90000"/>
    <x v="4"/>
    <x v="0"/>
    <x v="2"/>
    <x v="0"/>
    <n v="1"/>
    <x v="2"/>
    <x v="1"/>
    <x v="15"/>
    <x v="0"/>
    <x v="0"/>
  </r>
  <r>
    <x v="335"/>
    <x v="0"/>
    <x v="1"/>
    <n v="80000"/>
    <x v="2"/>
    <x v="4"/>
    <x v="4"/>
    <x v="1"/>
    <n v="2"/>
    <x v="0"/>
    <x v="1"/>
    <x v="32"/>
    <x v="0"/>
    <x v="0"/>
  </r>
  <r>
    <x v="336"/>
    <x v="1"/>
    <x v="1"/>
    <n v="20000"/>
    <x v="3"/>
    <x v="3"/>
    <x v="3"/>
    <x v="1"/>
    <n v="2"/>
    <x v="0"/>
    <x v="0"/>
    <x v="17"/>
    <x v="0"/>
    <x v="0"/>
  </r>
  <r>
    <x v="337"/>
    <x v="0"/>
    <x v="1"/>
    <n v="10000"/>
    <x v="3"/>
    <x v="3"/>
    <x v="3"/>
    <x v="0"/>
    <n v="2"/>
    <x v="0"/>
    <x v="0"/>
    <x v="21"/>
    <x v="0"/>
    <x v="0"/>
  </r>
  <r>
    <x v="338"/>
    <x v="1"/>
    <x v="0"/>
    <n v="120000"/>
    <x v="1"/>
    <x v="2"/>
    <x v="2"/>
    <x v="0"/>
    <n v="4"/>
    <x v="2"/>
    <x v="0"/>
    <x v="5"/>
    <x v="0"/>
    <x v="1"/>
  </r>
  <r>
    <x v="339"/>
    <x v="0"/>
    <x v="1"/>
    <n v="20000"/>
    <x v="0"/>
    <x v="0"/>
    <x v="1"/>
    <x v="0"/>
    <n v="0"/>
    <x v="0"/>
    <x v="0"/>
    <x v="29"/>
    <x v="1"/>
    <x v="0"/>
  </r>
  <r>
    <x v="340"/>
    <x v="1"/>
    <x v="1"/>
    <n v="30000"/>
    <x v="3"/>
    <x v="1"/>
    <x v="1"/>
    <x v="0"/>
    <n v="1"/>
    <x v="1"/>
    <x v="0"/>
    <x v="25"/>
    <x v="2"/>
    <x v="0"/>
  </r>
  <r>
    <x v="341"/>
    <x v="1"/>
    <x v="0"/>
    <n v="30000"/>
    <x v="3"/>
    <x v="2"/>
    <x v="3"/>
    <x v="1"/>
    <n v="1"/>
    <x v="1"/>
    <x v="0"/>
    <x v="21"/>
    <x v="0"/>
    <x v="1"/>
  </r>
  <r>
    <x v="342"/>
    <x v="1"/>
    <x v="1"/>
    <n v="10000"/>
    <x v="3"/>
    <x v="3"/>
    <x v="3"/>
    <x v="0"/>
    <n v="2"/>
    <x v="3"/>
    <x v="0"/>
    <x v="11"/>
    <x v="0"/>
    <x v="0"/>
  </r>
  <r>
    <x v="343"/>
    <x v="1"/>
    <x v="0"/>
    <n v="30000"/>
    <x v="3"/>
    <x v="2"/>
    <x v="3"/>
    <x v="1"/>
    <n v="1"/>
    <x v="1"/>
    <x v="0"/>
    <x v="21"/>
    <x v="0"/>
    <x v="0"/>
  </r>
  <r>
    <x v="344"/>
    <x v="1"/>
    <x v="1"/>
    <n v="30000"/>
    <x v="3"/>
    <x v="1"/>
    <x v="1"/>
    <x v="1"/>
    <n v="1"/>
    <x v="1"/>
    <x v="0"/>
    <x v="23"/>
    <x v="0"/>
    <x v="1"/>
  </r>
  <r>
    <x v="345"/>
    <x v="0"/>
    <x v="0"/>
    <n v="20000"/>
    <x v="0"/>
    <x v="0"/>
    <x v="1"/>
    <x v="0"/>
    <n v="0"/>
    <x v="0"/>
    <x v="0"/>
    <x v="5"/>
    <x v="0"/>
    <x v="1"/>
  </r>
  <r>
    <x v="346"/>
    <x v="0"/>
    <x v="1"/>
    <n v="40000"/>
    <x v="0"/>
    <x v="0"/>
    <x v="0"/>
    <x v="1"/>
    <n v="0"/>
    <x v="0"/>
    <x v="0"/>
    <x v="1"/>
    <x v="0"/>
    <x v="1"/>
  </r>
  <r>
    <x v="347"/>
    <x v="1"/>
    <x v="0"/>
    <n v="60000"/>
    <x v="0"/>
    <x v="1"/>
    <x v="0"/>
    <x v="1"/>
    <n v="1"/>
    <x v="0"/>
    <x v="1"/>
    <x v="12"/>
    <x v="0"/>
    <x v="1"/>
  </r>
  <r>
    <x v="348"/>
    <x v="0"/>
    <x v="1"/>
    <n v="20000"/>
    <x v="4"/>
    <x v="2"/>
    <x v="3"/>
    <x v="0"/>
    <n v="2"/>
    <x v="0"/>
    <x v="0"/>
    <x v="0"/>
    <x v="0"/>
    <x v="0"/>
  </r>
  <r>
    <x v="349"/>
    <x v="1"/>
    <x v="0"/>
    <n v="30000"/>
    <x v="3"/>
    <x v="1"/>
    <x v="1"/>
    <x v="1"/>
    <n v="1"/>
    <x v="0"/>
    <x v="0"/>
    <x v="19"/>
    <x v="2"/>
    <x v="1"/>
  </r>
  <r>
    <x v="350"/>
    <x v="1"/>
    <x v="1"/>
    <n v="20000"/>
    <x v="3"/>
    <x v="1"/>
    <x v="3"/>
    <x v="1"/>
    <n v="0"/>
    <x v="0"/>
    <x v="1"/>
    <x v="26"/>
    <x v="2"/>
    <x v="1"/>
  </r>
  <r>
    <x v="351"/>
    <x v="1"/>
    <x v="1"/>
    <n v="10000"/>
    <x v="1"/>
    <x v="2"/>
    <x v="3"/>
    <x v="0"/>
    <n v="0"/>
    <x v="0"/>
    <x v="0"/>
    <x v="34"/>
    <x v="0"/>
    <x v="1"/>
  </r>
  <r>
    <x v="352"/>
    <x v="0"/>
    <x v="0"/>
    <n v="80000"/>
    <x v="5"/>
    <x v="1"/>
    <x v="2"/>
    <x v="0"/>
    <n v="2"/>
    <x v="1"/>
    <x v="0"/>
    <x v="39"/>
    <x v="0"/>
    <x v="0"/>
  </r>
  <r>
    <x v="353"/>
    <x v="1"/>
    <x v="1"/>
    <n v="40000"/>
    <x v="3"/>
    <x v="4"/>
    <x v="1"/>
    <x v="1"/>
    <n v="0"/>
    <x v="0"/>
    <x v="0"/>
    <x v="13"/>
    <x v="0"/>
    <x v="1"/>
  </r>
  <r>
    <x v="354"/>
    <x v="1"/>
    <x v="1"/>
    <n v="30000"/>
    <x v="0"/>
    <x v="0"/>
    <x v="1"/>
    <x v="1"/>
    <n v="1"/>
    <x v="3"/>
    <x v="0"/>
    <x v="32"/>
    <x v="0"/>
    <x v="0"/>
  </r>
  <r>
    <x v="355"/>
    <x v="1"/>
    <x v="1"/>
    <n v="80000"/>
    <x v="3"/>
    <x v="0"/>
    <x v="2"/>
    <x v="0"/>
    <n v="3"/>
    <x v="4"/>
    <x v="1"/>
    <x v="21"/>
    <x v="0"/>
    <x v="0"/>
  </r>
  <r>
    <x v="356"/>
    <x v="0"/>
    <x v="0"/>
    <n v="150000"/>
    <x v="1"/>
    <x v="2"/>
    <x v="2"/>
    <x v="0"/>
    <n v="3"/>
    <x v="0"/>
    <x v="0"/>
    <x v="36"/>
    <x v="0"/>
    <x v="1"/>
  </r>
  <r>
    <x v="357"/>
    <x v="1"/>
    <x v="0"/>
    <n v="10000"/>
    <x v="3"/>
    <x v="3"/>
    <x v="3"/>
    <x v="0"/>
    <n v="2"/>
    <x v="3"/>
    <x v="0"/>
    <x v="6"/>
    <x v="0"/>
    <x v="0"/>
  </r>
  <r>
    <x v="358"/>
    <x v="0"/>
    <x v="1"/>
    <n v="90000"/>
    <x v="5"/>
    <x v="2"/>
    <x v="4"/>
    <x v="0"/>
    <n v="3"/>
    <x v="2"/>
    <x v="0"/>
    <x v="7"/>
    <x v="1"/>
    <x v="1"/>
  </r>
  <r>
    <x v="359"/>
    <x v="0"/>
    <x v="1"/>
    <n v="80000"/>
    <x v="3"/>
    <x v="0"/>
    <x v="2"/>
    <x v="0"/>
    <n v="3"/>
    <x v="4"/>
    <x v="1"/>
    <x v="25"/>
    <x v="2"/>
    <x v="0"/>
  </r>
  <r>
    <x v="360"/>
    <x v="1"/>
    <x v="1"/>
    <n v="130000"/>
    <x v="3"/>
    <x v="4"/>
    <x v="4"/>
    <x v="0"/>
    <n v="0"/>
    <x v="1"/>
    <x v="1"/>
    <x v="28"/>
    <x v="0"/>
    <x v="1"/>
  </r>
  <r>
    <x v="361"/>
    <x v="1"/>
    <x v="0"/>
    <n v="30000"/>
    <x v="1"/>
    <x v="1"/>
    <x v="1"/>
    <x v="1"/>
    <n v="2"/>
    <x v="0"/>
    <x v="0"/>
    <x v="40"/>
    <x v="2"/>
    <x v="1"/>
  </r>
  <r>
    <x v="362"/>
    <x v="0"/>
    <x v="1"/>
    <n v="40000"/>
    <x v="0"/>
    <x v="0"/>
    <x v="0"/>
    <x v="0"/>
    <n v="1"/>
    <x v="0"/>
    <x v="0"/>
    <x v="6"/>
    <x v="0"/>
    <x v="1"/>
  </r>
  <r>
    <x v="363"/>
    <x v="0"/>
    <x v="0"/>
    <n v="40000"/>
    <x v="4"/>
    <x v="0"/>
    <x v="4"/>
    <x v="0"/>
    <n v="2"/>
    <x v="0"/>
    <x v="1"/>
    <x v="29"/>
    <x v="1"/>
    <x v="1"/>
  </r>
  <r>
    <x v="364"/>
    <x v="1"/>
    <x v="0"/>
    <n v="10000"/>
    <x v="4"/>
    <x v="2"/>
    <x v="3"/>
    <x v="0"/>
    <n v="1"/>
    <x v="0"/>
    <x v="0"/>
    <x v="13"/>
    <x v="0"/>
    <x v="1"/>
  </r>
  <r>
    <x v="365"/>
    <x v="1"/>
    <x v="0"/>
    <n v="40000"/>
    <x v="3"/>
    <x v="0"/>
    <x v="1"/>
    <x v="1"/>
    <n v="0"/>
    <x v="0"/>
    <x v="0"/>
    <x v="13"/>
    <x v="0"/>
    <x v="1"/>
  </r>
  <r>
    <x v="366"/>
    <x v="0"/>
    <x v="1"/>
    <n v="60000"/>
    <x v="0"/>
    <x v="1"/>
    <x v="0"/>
    <x v="0"/>
    <n v="1"/>
    <x v="0"/>
    <x v="1"/>
    <x v="12"/>
    <x v="0"/>
    <x v="1"/>
  </r>
  <r>
    <x v="367"/>
    <x v="0"/>
    <x v="0"/>
    <n v="130000"/>
    <x v="1"/>
    <x v="1"/>
    <x v="2"/>
    <x v="0"/>
    <n v="3"/>
    <x v="2"/>
    <x v="0"/>
    <x v="5"/>
    <x v="0"/>
    <x v="1"/>
  </r>
  <r>
    <x v="368"/>
    <x v="1"/>
    <x v="0"/>
    <n v="30000"/>
    <x v="4"/>
    <x v="1"/>
    <x v="1"/>
    <x v="1"/>
    <n v="2"/>
    <x v="2"/>
    <x v="1"/>
    <x v="2"/>
    <x v="1"/>
    <x v="1"/>
  </r>
  <r>
    <x v="369"/>
    <x v="1"/>
    <x v="0"/>
    <n v="20000"/>
    <x v="4"/>
    <x v="1"/>
    <x v="3"/>
    <x v="1"/>
    <n v="1"/>
    <x v="0"/>
    <x v="0"/>
    <x v="39"/>
    <x v="0"/>
    <x v="1"/>
  </r>
  <r>
    <x v="370"/>
    <x v="0"/>
    <x v="0"/>
    <n v="100000"/>
    <x v="5"/>
    <x v="0"/>
    <x v="2"/>
    <x v="0"/>
    <n v="1"/>
    <x v="4"/>
    <x v="1"/>
    <x v="30"/>
    <x v="0"/>
    <x v="0"/>
  </r>
  <r>
    <x v="371"/>
    <x v="1"/>
    <x v="1"/>
    <n v="80000"/>
    <x v="2"/>
    <x v="4"/>
    <x v="4"/>
    <x v="0"/>
    <n v="3"/>
    <x v="0"/>
    <x v="1"/>
    <x v="5"/>
    <x v="0"/>
    <x v="0"/>
  </r>
  <r>
    <x v="372"/>
    <x v="0"/>
    <x v="1"/>
    <n v="40000"/>
    <x v="0"/>
    <x v="0"/>
    <x v="0"/>
    <x v="0"/>
    <n v="1"/>
    <x v="0"/>
    <x v="0"/>
    <x v="1"/>
    <x v="0"/>
    <x v="1"/>
  </r>
  <r>
    <x v="373"/>
    <x v="1"/>
    <x v="1"/>
    <n v="20000"/>
    <x v="3"/>
    <x v="2"/>
    <x v="3"/>
    <x v="1"/>
    <n v="1"/>
    <x v="1"/>
    <x v="0"/>
    <x v="25"/>
    <x v="2"/>
    <x v="0"/>
  </r>
  <r>
    <x v="374"/>
    <x v="1"/>
    <x v="0"/>
    <n v="80000"/>
    <x v="2"/>
    <x v="0"/>
    <x v="2"/>
    <x v="0"/>
    <n v="4"/>
    <x v="3"/>
    <x v="1"/>
    <x v="13"/>
    <x v="0"/>
    <x v="0"/>
  </r>
  <r>
    <x v="375"/>
    <x v="0"/>
    <x v="0"/>
    <n v="40000"/>
    <x v="0"/>
    <x v="0"/>
    <x v="0"/>
    <x v="0"/>
    <n v="1"/>
    <x v="0"/>
    <x v="0"/>
    <x v="47"/>
    <x v="1"/>
    <x v="0"/>
  </r>
  <r>
    <x v="376"/>
    <x v="0"/>
    <x v="1"/>
    <n v="20000"/>
    <x v="0"/>
    <x v="0"/>
    <x v="1"/>
    <x v="0"/>
    <n v="0"/>
    <x v="0"/>
    <x v="0"/>
    <x v="46"/>
    <x v="1"/>
    <x v="1"/>
  </r>
  <r>
    <x v="377"/>
    <x v="0"/>
    <x v="1"/>
    <n v="130000"/>
    <x v="1"/>
    <x v="1"/>
    <x v="2"/>
    <x v="1"/>
    <n v="3"/>
    <x v="2"/>
    <x v="0"/>
    <x v="36"/>
    <x v="0"/>
    <x v="1"/>
  </r>
  <r>
    <x v="378"/>
    <x v="0"/>
    <x v="1"/>
    <n v="30000"/>
    <x v="1"/>
    <x v="1"/>
    <x v="1"/>
    <x v="1"/>
    <n v="2"/>
    <x v="2"/>
    <x v="1"/>
    <x v="16"/>
    <x v="1"/>
    <x v="0"/>
  </r>
  <r>
    <x v="379"/>
    <x v="0"/>
    <x v="1"/>
    <n v="60000"/>
    <x v="1"/>
    <x v="0"/>
    <x v="2"/>
    <x v="0"/>
    <n v="2"/>
    <x v="2"/>
    <x v="1"/>
    <x v="1"/>
    <x v="0"/>
    <x v="0"/>
  </r>
  <r>
    <x v="380"/>
    <x v="1"/>
    <x v="1"/>
    <n v="70000"/>
    <x v="3"/>
    <x v="0"/>
    <x v="2"/>
    <x v="1"/>
    <n v="3"/>
    <x v="4"/>
    <x v="1"/>
    <x v="25"/>
    <x v="2"/>
    <x v="1"/>
  </r>
  <r>
    <x v="381"/>
    <x v="0"/>
    <x v="0"/>
    <n v="30000"/>
    <x v="4"/>
    <x v="1"/>
    <x v="1"/>
    <x v="0"/>
    <n v="2"/>
    <x v="2"/>
    <x v="1"/>
    <x v="45"/>
    <x v="1"/>
    <x v="0"/>
  </r>
  <r>
    <x v="382"/>
    <x v="0"/>
    <x v="1"/>
    <n v="80000"/>
    <x v="5"/>
    <x v="1"/>
    <x v="2"/>
    <x v="0"/>
    <n v="2"/>
    <x v="4"/>
    <x v="0"/>
    <x v="39"/>
    <x v="0"/>
    <x v="0"/>
  </r>
  <r>
    <x v="383"/>
    <x v="0"/>
    <x v="1"/>
    <n v="40000"/>
    <x v="3"/>
    <x v="4"/>
    <x v="1"/>
    <x v="0"/>
    <n v="0"/>
    <x v="0"/>
    <x v="0"/>
    <x v="34"/>
    <x v="0"/>
    <x v="1"/>
  </r>
  <r>
    <x v="384"/>
    <x v="1"/>
    <x v="0"/>
    <n v="10000"/>
    <x v="3"/>
    <x v="1"/>
    <x v="3"/>
    <x v="1"/>
    <n v="1"/>
    <x v="0"/>
    <x v="1"/>
    <x v="26"/>
    <x v="2"/>
    <x v="1"/>
  </r>
  <r>
    <x v="385"/>
    <x v="1"/>
    <x v="1"/>
    <n v="30000"/>
    <x v="1"/>
    <x v="1"/>
    <x v="1"/>
    <x v="0"/>
    <n v="0"/>
    <x v="0"/>
    <x v="0"/>
    <x v="1"/>
    <x v="0"/>
    <x v="0"/>
  </r>
  <r>
    <x v="386"/>
    <x v="1"/>
    <x v="0"/>
    <n v="120000"/>
    <x v="3"/>
    <x v="3"/>
    <x v="2"/>
    <x v="0"/>
    <n v="4"/>
    <x v="4"/>
    <x v="1"/>
    <x v="17"/>
    <x v="0"/>
    <x v="1"/>
  </r>
  <r>
    <x v="387"/>
    <x v="1"/>
    <x v="0"/>
    <n v="20000"/>
    <x v="3"/>
    <x v="3"/>
    <x v="3"/>
    <x v="1"/>
    <n v="2"/>
    <x v="3"/>
    <x v="0"/>
    <x v="17"/>
    <x v="0"/>
    <x v="1"/>
  </r>
  <r>
    <x v="388"/>
    <x v="0"/>
    <x v="0"/>
    <n v="30000"/>
    <x v="0"/>
    <x v="0"/>
    <x v="1"/>
    <x v="0"/>
    <n v="0"/>
    <x v="0"/>
    <x v="0"/>
    <x v="46"/>
    <x v="1"/>
    <x v="0"/>
  </r>
  <r>
    <x v="389"/>
    <x v="0"/>
    <x v="0"/>
    <n v="80000"/>
    <x v="3"/>
    <x v="0"/>
    <x v="2"/>
    <x v="0"/>
    <n v="1"/>
    <x v="3"/>
    <x v="1"/>
    <x v="3"/>
    <x v="0"/>
    <x v="1"/>
  </r>
  <r>
    <x v="390"/>
    <x v="1"/>
    <x v="1"/>
    <n v="70000"/>
    <x v="3"/>
    <x v="0"/>
    <x v="2"/>
    <x v="1"/>
    <n v="1"/>
    <x v="2"/>
    <x v="1"/>
    <x v="13"/>
    <x v="0"/>
    <x v="0"/>
  </r>
  <r>
    <x v="391"/>
    <x v="1"/>
    <x v="0"/>
    <n v="70000"/>
    <x v="3"/>
    <x v="0"/>
    <x v="2"/>
    <x v="1"/>
    <n v="1"/>
    <x v="0"/>
    <x v="1"/>
    <x v="3"/>
    <x v="0"/>
    <x v="1"/>
  </r>
  <r>
    <x v="392"/>
    <x v="1"/>
    <x v="1"/>
    <n v="20000"/>
    <x v="0"/>
    <x v="0"/>
    <x v="1"/>
    <x v="1"/>
    <n v="0"/>
    <x v="0"/>
    <x v="0"/>
    <x v="36"/>
    <x v="0"/>
    <x v="0"/>
  </r>
  <r>
    <x v="393"/>
    <x v="0"/>
    <x v="0"/>
    <n v="10000"/>
    <x v="3"/>
    <x v="3"/>
    <x v="3"/>
    <x v="0"/>
    <n v="2"/>
    <x v="3"/>
    <x v="0"/>
    <x v="21"/>
    <x v="0"/>
    <x v="0"/>
  </r>
  <r>
    <x v="394"/>
    <x v="0"/>
    <x v="0"/>
    <n v="40000"/>
    <x v="3"/>
    <x v="0"/>
    <x v="1"/>
    <x v="0"/>
    <n v="0"/>
    <x v="0"/>
    <x v="0"/>
    <x v="13"/>
    <x v="0"/>
    <x v="1"/>
  </r>
  <r>
    <x v="395"/>
    <x v="0"/>
    <x v="1"/>
    <n v="30000"/>
    <x v="0"/>
    <x v="0"/>
    <x v="1"/>
    <x v="0"/>
    <n v="0"/>
    <x v="0"/>
    <x v="0"/>
    <x v="13"/>
    <x v="0"/>
    <x v="1"/>
  </r>
  <r>
    <x v="396"/>
    <x v="1"/>
    <x v="1"/>
    <n v="60000"/>
    <x v="4"/>
    <x v="0"/>
    <x v="2"/>
    <x v="0"/>
    <n v="1"/>
    <x v="1"/>
    <x v="1"/>
    <x v="13"/>
    <x v="0"/>
    <x v="1"/>
  </r>
  <r>
    <x v="397"/>
    <x v="0"/>
    <x v="0"/>
    <n v="10000"/>
    <x v="4"/>
    <x v="3"/>
    <x v="1"/>
    <x v="0"/>
    <n v="2"/>
    <x v="2"/>
    <x v="1"/>
    <x v="7"/>
    <x v="1"/>
    <x v="0"/>
  </r>
  <r>
    <x v="398"/>
    <x v="1"/>
    <x v="1"/>
    <n v="30000"/>
    <x v="0"/>
    <x v="0"/>
    <x v="1"/>
    <x v="0"/>
    <n v="1"/>
    <x v="3"/>
    <x v="0"/>
    <x v="32"/>
    <x v="0"/>
    <x v="1"/>
  </r>
  <r>
    <x v="399"/>
    <x v="1"/>
    <x v="0"/>
    <n v="40000"/>
    <x v="4"/>
    <x v="0"/>
    <x v="4"/>
    <x v="1"/>
    <n v="1"/>
    <x v="2"/>
    <x v="1"/>
    <x v="39"/>
    <x v="0"/>
    <x v="1"/>
  </r>
  <r>
    <x v="400"/>
    <x v="1"/>
    <x v="0"/>
    <n v="110000"/>
    <x v="1"/>
    <x v="0"/>
    <x v="4"/>
    <x v="0"/>
    <n v="4"/>
    <x v="4"/>
    <x v="0"/>
    <x v="39"/>
    <x v="0"/>
    <x v="0"/>
  </r>
  <r>
    <x v="401"/>
    <x v="0"/>
    <x v="0"/>
    <n v="40000"/>
    <x v="0"/>
    <x v="0"/>
    <x v="1"/>
    <x v="0"/>
    <n v="0"/>
    <x v="0"/>
    <x v="0"/>
    <x v="48"/>
    <x v="1"/>
    <x v="0"/>
  </r>
  <r>
    <x v="402"/>
    <x v="0"/>
    <x v="1"/>
    <n v="10000"/>
    <x v="0"/>
    <x v="4"/>
    <x v="3"/>
    <x v="0"/>
    <n v="0"/>
    <x v="0"/>
    <x v="0"/>
    <x v="20"/>
    <x v="0"/>
    <x v="0"/>
  </r>
  <r>
    <x v="403"/>
    <x v="0"/>
    <x v="1"/>
    <n v="20000"/>
    <x v="0"/>
    <x v="4"/>
    <x v="1"/>
    <x v="0"/>
    <n v="0"/>
    <x v="0"/>
    <x v="0"/>
    <x v="20"/>
    <x v="0"/>
    <x v="0"/>
  </r>
  <r>
    <x v="404"/>
    <x v="0"/>
    <x v="1"/>
    <n v="30000"/>
    <x v="1"/>
    <x v="2"/>
    <x v="0"/>
    <x v="0"/>
    <n v="2"/>
    <x v="2"/>
    <x v="1"/>
    <x v="9"/>
    <x v="0"/>
    <x v="1"/>
  </r>
  <r>
    <x v="405"/>
    <x v="0"/>
    <x v="0"/>
    <n v="30000"/>
    <x v="3"/>
    <x v="0"/>
    <x v="1"/>
    <x v="0"/>
    <n v="0"/>
    <x v="0"/>
    <x v="0"/>
    <x v="34"/>
    <x v="0"/>
    <x v="1"/>
  </r>
  <r>
    <x v="406"/>
    <x v="0"/>
    <x v="0"/>
    <n v="40000"/>
    <x v="0"/>
    <x v="0"/>
    <x v="0"/>
    <x v="0"/>
    <n v="0"/>
    <x v="0"/>
    <x v="0"/>
    <x v="3"/>
    <x v="0"/>
    <x v="0"/>
  </r>
  <r>
    <x v="407"/>
    <x v="1"/>
    <x v="0"/>
    <n v="90000"/>
    <x v="4"/>
    <x v="0"/>
    <x v="2"/>
    <x v="1"/>
    <n v="0"/>
    <x v="0"/>
    <x v="1"/>
    <x v="4"/>
    <x v="0"/>
    <x v="1"/>
  </r>
  <r>
    <x v="408"/>
    <x v="1"/>
    <x v="0"/>
    <n v="40000"/>
    <x v="4"/>
    <x v="1"/>
    <x v="1"/>
    <x v="0"/>
    <n v="0"/>
    <x v="0"/>
    <x v="0"/>
    <x v="6"/>
    <x v="0"/>
    <x v="0"/>
  </r>
  <r>
    <x v="409"/>
    <x v="0"/>
    <x v="0"/>
    <n v="130000"/>
    <x v="1"/>
    <x v="1"/>
    <x v="2"/>
    <x v="0"/>
    <n v="4"/>
    <x v="0"/>
    <x v="0"/>
    <x v="31"/>
    <x v="0"/>
    <x v="0"/>
  </r>
  <r>
    <x v="410"/>
    <x v="0"/>
    <x v="0"/>
    <n v="20000"/>
    <x v="4"/>
    <x v="1"/>
    <x v="3"/>
    <x v="0"/>
    <n v="1"/>
    <x v="0"/>
    <x v="0"/>
    <x v="30"/>
    <x v="0"/>
    <x v="1"/>
  </r>
  <r>
    <x v="411"/>
    <x v="0"/>
    <x v="1"/>
    <n v="70000"/>
    <x v="2"/>
    <x v="1"/>
    <x v="0"/>
    <x v="0"/>
    <n v="2"/>
    <x v="2"/>
    <x v="1"/>
    <x v="1"/>
    <x v="0"/>
    <x v="0"/>
  </r>
  <r>
    <x v="412"/>
    <x v="1"/>
    <x v="1"/>
    <n v="40000"/>
    <x v="4"/>
    <x v="1"/>
    <x v="1"/>
    <x v="0"/>
    <n v="0"/>
    <x v="0"/>
    <x v="0"/>
    <x v="17"/>
    <x v="0"/>
    <x v="0"/>
  </r>
  <r>
    <x v="413"/>
    <x v="1"/>
    <x v="0"/>
    <n v="30000"/>
    <x v="4"/>
    <x v="1"/>
    <x v="1"/>
    <x v="1"/>
    <n v="2"/>
    <x v="2"/>
    <x v="1"/>
    <x v="41"/>
    <x v="1"/>
    <x v="0"/>
  </r>
  <r>
    <x v="414"/>
    <x v="0"/>
    <x v="0"/>
    <n v="40000"/>
    <x v="3"/>
    <x v="4"/>
    <x v="1"/>
    <x v="0"/>
    <n v="0"/>
    <x v="0"/>
    <x v="0"/>
    <x v="11"/>
    <x v="0"/>
    <x v="1"/>
  </r>
  <r>
    <x v="415"/>
    <x v="0"/>
    <x v="0"/>
    <n v="80000"/>
    <x v="2"/>
    <x v="4"/>
    <x v="4"/>
    <x v="0"/>
    <n v="3"/>
    <x v="0"/>
    <x v="1"/>
    <x v="8"/>
    <x v="0"/>
    <x v="0"/>
  </r>
  <r>
    <x v="416"/>
    <x v="1"/>
    <x v="1"/>
    <n v="60000"/>
    <x v="4"/>
    <x v="0"/>
    <x v="2"/>
    <x v="1"/>
    <n v="1"/>
    <x v="0"/>
    <x v="1"/>
    <x v="34"/>
    <x v="0"/>
    <x v="1"/>
  </r>
  <r>
    <x v="417"/>
    <x v="1"/>
    <x v="0"/>
    <n v="30000"/>
    <x v="4"/>
    <x v="1"/>
    <x v="1"/>
    <x v="1"/>
    <n v="2"/>
    <x v="2"/>
    <x v="1"/>
    <x v="41"/>
    <x v="1"/>
    <x v="0"/>
  </r>
  <r>
    <x v="418"/>
    <x v="0"/>
    <x v="1"/>
    <n v="30000"/>
    <x v="0"/>
    <x v="0"/>
    <x v="0"/>
    <x v="0"/>
    <n v="2"/>
    <x v="0"/>
    <x v="0"/>
    <x v="3"/>
    <x v="0"/>
    <x v="1"/>
  </r>
  <r>
    <x v="419"/>
    <x v="1"/>
    <x v="1"/>
    <n v="10000"/>
    <x v="4"/>
    <x v="1"/>
    <x v="3"/>
    <x v="0"/>
    <n v="1"/>
    <x v="0"/>
    <x v="0"/>
    <x v="36"/>
    <x v="0"/>
    <x v="1"/>
  </r>
  <r>
    <x v="420"/>
    <x v="0"/>
    <x v="0"/>
    <n v="100000"/>
    <x v="4"/>
    <x v="0"/>
    <x v="4"/>
    <x v="0"/>
    <n v="4"/>
    <x v="4"/>
    <x v="0"/>
    <x v="14"/>
    <x v="1"/>
    <x v="0"/>
  </r>
  <r>
    <x v="421"/>
    <x v="0"/>
    <x v="1"/>
    <n v="10000"/>
    <x v="4"/>
    <x v="1"/>
    <x v="3"/>
    <x v="0"/>
    <n v="0"/>
    <x v="3"/>
    <x v="0"/>
    <x v="36"/>
    <x v="0"/>
    <x v="0"/>
  </r>
  <r>
    <x v="422"/>
    <x v="1"/>
    <x v="1"/>
    <n v="110000"/>
    <x v="3"/>
    <x v="1"/>
    <x v="4"/>
    <x v="1"/>
    <n v="3"/>
    <x v="4"/>
    <x v="1"/>
    <x v="21"/>
    <x v="0"/>
    <x v="1"/>
  </r>
  <r>
    <x v="423"/>
    <x v="1"/>
    <x v="1"/>
    <n v="30000"/>
    <x v="3"/>
    <x v="2"/>
    <x v="3"/>
    <x v="0"/>
    <n v="1"/>
    <x v="1"/>
    <x v="0"/>
    <x v="17"/>
    <x v="0"/>
    <x v="1"/>
  </r>
  <r>
    <x v="424"/>
    <x v="1"/>
    <x v="0"/>
    <n v="10000"/>
    <x v="1"/>
    <x v="3"/>
    <x v="3"/>
    <x v="0"/>
    <n v="2"/>
    <x v="0"/>
    <x v="0"/>
    <x v="1"/>
    <x v="0"/>
    <x v="0"/>
  </r>
  <r>
    <x v="425"/>
    <x v="0"/>
    <x v="1"/>
    <n v="40000"/>
    <x v="4"/>
    <x v="0"/>
    <x v="4"/>
    <x v="0"/>
    <n v="2"/>
    <x v="0"/>
    <x v="1"/>
    <x v="41"/>
    <x v="1"/>
    <x v="0"/>
  </r>
  <r>
    <x v="426"/>
    <x v="1"/>
    <x v="1"/>
    <n v="30000"/>
    <x v="3"/>
    <x v="1"/>
    <x v="1"/>
    <x v="1"/>
    <n v="1"/>
    <x v="1"/>
    <x v="0"/>
    <x v="26"/>
    <x v="2"/>
    <x v="0"/>
  </r>
  <r>
    <x v="427"/>
    <x v="1"/>
    <x v="0"/>
    <n v="90000"/>
    <x v="0"/>
    <x v="4"/>
    <x v="4"/>
    <x v="0"/>
    <n v="0"/>
    <x v="0"/>
    <x v="1"/>
    <x v="4"/>
    <x v="0"/>
    <x v="1"/>
  </r>
  <r>
    <x v="428"/>
    <x v="0"/>
    <x v="1"/>
    <n v="110000"/>
    <x v="5"/>
    <x v="0"/>
    <x v="4"/>
    <x v="0"/>
    <n v="3"/>
    <x v="1"/>
    <x v="1"/>
    <x v="28"/>
    <x v="0"/>
    <x v="0"/>
  </r>
  <r>
    <x v="429"/>
    <x v="1"/>
    <x v="0"/>
    <n v="30000"/>
    <x v="3"/>
    <x v="1"/>
    <x v="1"/>
    <x v="0"/>
    <n v="1"/>
    <x v="1"/>
    <x v="0"/>
    <x v="23"/>
    <x v="0"/>
    <x v="0"/>
  </r>
  <r>
    <x v="430"/>
    <x v="1"/>
    <x v="0"/>
    <n v="30000"/>
    <x v="1"/>
    <x v="2"/>
    <x v="0"/>
    <x v="0"/>
    <n v="2"/>
    <x v="2"/>
    <x v="1"/>
    <x v="10"/>
    <x v="0"/>
    <x v="0"/>
  </r>
  <r>
    <x v="431"/>
    <x v="1"/>
    <x v="1"/>
    <n v="20000"/>
    <x v="3"/>
    <x v="1"/>
    <x v="3"/>
    <x v="0"/>
    <n v="0"/>
    <x v="0"/>
    <x v="1"/>
    <x v="26"/>
    <x v="2"/>
    <x v="1"/>
  </r>
  <r>
    <x v="432"/>
    <x v="0"/>
    <x v="0"/>
    <n v="110000"/>
    <x v="3"/>
    <x v="2"/>
    <x v="4"/>
    <x v="0"/>
    <n v="3"/>
    <x v="4"/>
    <x v="1"/>
    <x v="17"/>
    <x v="0"/>
    <x v="1"/>
  </r>
  <r>
    <x v="433"/>
    <x v="1"/>
    <x v="0"/>
    <n v="30000"/>
    <x v="1"/>
    <x v="1"/>
    <x v="1"/>
    <x v="1"/>
    <n v="1"/>
    <x v="0"/>
    <x v="0"/>
    <x v="22"/>
    <x v="2"/>
    <x v="0"/>
  </r>
  <r>
    <x v="434"/>
    <x v="0"/>
    <x v="0"/>
    <n v="30000"/>
    <x v="1"/>
    <x v="2"/>
    <x v="0"/>
    <x v="0"/>
    <n v="2"/>
    <x v="2"/>
    <x v="1"/>
    <x v="39"/>
    <x v="0"/>
    <x v="1"/>
  </r>
  <r>
    <x v="435"/>
    <x v="1"/>
    <x v="0"/>
    <n v="10000"/>
    <x v="4"/>
    <x v="0"/>
    <x v="1"/>
    <x v="1"/>
    <n v="1"/>
    <x v="1"/>
    <x v="0"/>
    <x v="35"/>
    <x v="1"/>
    <x v="0"/>
  </r>
  <r>
    <x v="436"/>
    <x v="0"/>
    <x v="0"/>
    <n v="80000"/>
    <x v="4"/>
    <x v="2"/>
    <x v="0"/>
    <x v="0"/>
    <n v="2"/>
    <x v="2"/>
    <x v="1"/>
    <x v="5"/>
    <x v="0"/>
    <x v="1"/>
  </r>
  <r>
    <x v="437"/>
    <x v="1"/>
    <x v="0"/>
    <n v="30000"/>
    <x v="1"/>
    <x v="1"/>
    <x v="1"/>
    <x v="0"/>
    <n v="2"/>
    <x v="0"/>
    <x v="0"/>
    <x v="26"/>
    <x v="2"/>
    <x v="1"/>
  </r>
  <r>
    <x v="438"/>
    <x v="1"/>
    <x v="0"/>
    <n v="80000"/>
    <x v="3"/>
    <x v="4"/>
    <x v="0"/>
    <x v="1"/>
    <n v="0"/>
    <x v="0"/>
    <x v="0"/>
    <x v="8"/>
    <x v="0"/>
    <x v="1"/>
  </r>
  <r>
    <x v="439"/>
    <x v="0"/>
    <x v="1"/>
    <n v="70000"/>
    <x v="2"/>
    <x v="1"/>
    <x v="0"/>
    <x v="0"/>
    <n v="2"/>
    <x v="0"/>
    <x v="1"/>
    <x v="20"/>
    <x v="0"/>
    <x v="0"/>
  </r>
  <r>
    <x v="440"/>
    <x v="1"/>
    <x v="1"/>
    <n v="90000"/>
    <x v="3"/>
    <x v="0"/>
    <x v="2"/>
    <x v="1"/>
    <n v="3"/>
    <x v="4"/>
    <x v="1"/>
    <x v="17"/>
    <x v="0"/>
    <x v="1"/>
  </r>
  <r>
    <x v="441"/>
    <x v="0"/>
    <x v="1"/>
    <n v="70000"/>
    <x v="4"/>
    <x v="1"/>
    <x v="0"/>
    <x v="0"/>
    <n v="2"/>
    <x v="2"/>
    <x v="1"/>
    <x v="31"/>
    <x v="0"/>
    <x v="1"/>
  </r>
  <r>
    <x v="442"/>
    <x v="1"/>
    <x v="1"/>
    <n v="80000"/>
    <x v="5"/>
    <x v="4"/>
    <x v="4"/>
    <x v="0"/>
    <n v="0"/>
    <x v="0"/>
    <x v="1"/>
    <x v="4"/>
    <x v="0"/>
    <x v="1"/>
  </r>
  <r>
    <x v="443"/>
    <x v="0"/>
    <x v="0"/>
    <n v="40000"/>
    <x v="0"/>
    <x v="0"/>
    <x v="0"/>
    <x v="0"/>
    <n v="1"/>
    <x v="0"/>
    <x v="0"/>
    <x v="1"/>
    <x v="0"/>
    <x v="1"/>
  </r>
  <r>
    <x v="444"/>
    <x v="1"/>
    <x v="1"/>
    <n v="30000"/>
    <x v="3"/>
    <x v="2"/>
    <x v="3"/>
    <x v="1"/>
    <n v="1"/>
    <x v="3"/>
    <x v="0"/>
    <x v="21"/>
    <x v="0"/>
    <x v="0"/>
  </r>
  <r>
    <x v="445"/>
    <x v="0"/>
    <x v="0"/>
    <n v="40000"/>
    <x v="0"/>
    <x v="0"/>
    <x v="0"/>
    <x v="0"/>
    <n v="1"/>
    <x v="3"/>
    <x v="0"/>
    <x v="21"/>
    <x v="0"/>
    <x v="1"/>
  </r>
  <r>
    <x v="446"/>
    <x v="0"/>
    <x v="0"/>
    <n v="130000"/>
    <x v="3"/>
    <x v="4"/>
    <x v="4"/>
    <x v="0"/>
    <n v="1"/>
    <x v="4"/>
    <x v="1"/>
    <x v="28"/>
    <x v="0"/>
    <x v="0"/>
  </r>
  <r>
    <x v="447"/>
    <x v="0"/>
    <x v="0"/>
    <n v="40000"/>
    <x v="0"/>
    <x v="0"/>
    <x v="0"/>
    <x v="0"/>
    <n v="0"/>
    <x v="3"/>
    <x v="0"/>
    <x v="21"/>
    <x v="0"/>
    <x v="1"/>
  </r>
  <r>
    <x v="448"/>
    <x v="0"/>
    <x v="0"/>
    <n v="30000"/>
    <x v="1"/>
    <x v="4"/>
    <x v="1"/>
    <x v="0"/>
    <n v="0"/>
    <x v="0"/>
    <x v="0"/>
    <x v="30"/>
    <x v="0"/>
    <x v="0"/>
  </r>
  <r>
    <x v="449"/>
    <x v="0"/>
    <x v="0"/>
    <n v="40000"/>
    <x v="0"/>
    <x v="0"/>
    <x v="0"/>
    <x v="0"/>
    <n v="0"/>
    <x v="0"/>
    <x v="0"/>
    <x v="0"/>
    <x v="0"/>
    <x v="0"/>
  </r>
  <r>
    <x v="450"/>
    <x v="1"/>
    <x v="0"/>
    <n v="10000"/>
    <x v="4"/>
    <x v="2"/>
    <x v="3"/>
    <x v="0"/>
    <n v="0"/>
    <x v="0"/>
    <x v="0"/>
    <x v="4"/>
    <x v="0"/>
    <x v="1"/>
  </r>
  <r>
    <x v="451"/>
    <x v="0"/>
    <x v="0"/>
    <n v="40000"/>
    <x v="0"/>
    <x v="0"/>
    <x v="0"/>
    <x v="0"/>
    <n v="0"/>
    <x v="0"/>
    <x v="0"/>
    <x v="3"/>
    <x v="0"/>
    <x v="0"/>
  </r>
  <r>
    <x v="452"/>
    <x v="0"/>
    <x v="0"/>
    <n v="30000"/>
    <x v="4"/>
    <x v="1"/>
    <x v="1"/>
    <x v="1"/>
    <n v="2"/>
    <x v="0"/>
    <x v="1"/>
    <x v="45"/>
    <x v="1"/>
    <x v="0"/>
  </r>
  <r>
    <x v="453"/>
    <x v="1"/>
    <x v="0"/>
    <n v="70000"/>
    <x v="2"/>
    <x v="1"/>
    <x v="0"/>
    <x v="0"/>
    <n v="2"/>
    <x v="2"/>
    <x v="1"/>
    <x v="12"/>
    <x v="0"/>
    <x v="0"/>
  </r>
  <r>
    <x v="454"/>
    <x v="1"/>
    <x v="1"/>
    <n v="30000"/>
    <x v="3"/>
    <x v="2"/>
    <x v="3"/>
    <x v="1"/>
    <n v="1"/>
    <x v="1"/>
    <x v="0"/>
    <x v="17"/>
    <x v="0"/>
    <x v="0"/>
  </r>
  <r>
    <x v="455"/>
    <x v="0"/>
    <x v="0"/>
    <n v="80000"/>
    <x v="5"/>
    <x v="1"/>
    <x v="2"/>
    <x v="1"/>
    <n v="1"/>
    <x v="1"/>
    <x v="0"/>
    <x v="39"/>
    <x v="0"/>
    <x v="1"/>
  </r>
  <r>
    <x v="456"/>
    <x v="1"/>
    <x v="1"/>
    <n v="120000"/>
    <x v="1"/>
    <x v="2"/>
    <x v="2"/>
    <x v="1"/>
    <n v="4"/>
    <x v="2"/>
    <x v="0"/>
    <x v="5"/>
    <x v="0"/>
    <x v="0"/>
  </r>
  <r>
    <x v="457"/>
    <x v="0"/>
    <x v="0"/>
    <n v="20000"/>
    <x v="0"/>
    <x v="1"/>
    <x v="3"/>
    <x v="0"/>
    <n v="0"/>
    <x v="0"/>
    <x v="0"/>
    <x v="27"/>
    <x v="1"/>
    <x v="0"/>
  </r>
  <r>
    <x v="458"/>
    <x v="0"/>
    <x v="1"/>
    <n v="120000"/>
    <x v="3"/>
    <x v="3"/>
    <x v="2"/>
    <x v="0"/>
    <n v="4"/>
    <x v="4"/>
    <x v="1"/>
    <x v="21"/>
    <x v="0"/>
    <x v="1"/>
  </r>
  <r>
    <x v="459"/>
    <x v="1"/>
    <x v="0"/>
    <n v="80000"/>
    <x v="3"/>
    <x v="0"/>
    <x v="2"/>
    <x v="1"/>
    <n v="3"/>
    <x v="4"/>
    <x v="1"/>
    <x v="6"/>
    <x v="0"/>
    <x v="0"/>
  </r>
  <r>
    <x v="460"/>
    <x v="1"/>
    <x v="1"/>
    <n v="20000"/>
    <x v="3"/>
    <x v="3"/>
    <x v="3"/>
    <x v="0"/>
    <n v="2"/>
    <x v="3"/>
    <x v="0"/>
    <x v="23"/>
    <x v="0"/>
    <x v="1"/>
  </r>
  <r>
    <x v="461"/>
    <x v="0"/>
    <x v="0"/>
    <n v="120000"/>
    <x v="0"/>
    <x v="0"/>
    <x v="4"/>
    <x v="0"/>
    <n v="2"/>
    <x v="0"/>
    <x v="1"/>
    <x v="30"/>
    <x v="0"/>
    <x v="1"/>
  </r>
  <r>
    <x v="462"/>
    <x v="0"/>
    <x v="0"/>
    <n v="40000"/>
    <x v="3"/>
    <x v="0"/>
    <x v="1"/>
    <x v="0"/>
    <n v="0"/>
    <x v="0"/>
    <x v="0"/>
    <x v="32"/>
    <x v="0"/>
    <x v="1"/>
  </r>
  <r>
    <x v="463"/>
    <x v="1"/>
    <x v="1"/>
    <n v="20000"/>
    <x v="4"/>
    <x v="2"/>
    <x v="3"/>
    <x v="0"/>
    <n v="1"/>
    <x v="0"/>
    <x v="0"/>
    <x v="8"/>
    <x v="0"/>
    <x v="0"/>
  </r>
  <r>
    <x v="464"/>
    <x v="1"/>
    <x v="0"/>
    <n v="30000"/>
    <x v="1"/>
    <x v="0"/>
    <x v="1"/>
    <x v="0"/>
    <n v="0"/>
    <x v="0"/>
    <x v="0"/>
    <x v="30"/>
    <x v="0"/>
    <x v="1"/>
  </r>
  <r>
    <x v="465"/>
    <x v="0"/>
    <x v="1"/>
    <n v="40000"/>
    <x v="4"/>
    <x v="0"/>
    <x v="4"/>
    <x v="0"/>
    <n v="2"/>
    <x v="0"/>
    <x v="1"/>
    <x v="27"/>
    <x v="1"/>
    <x v="0"/>
  </r>
  <r>
    <x v="466"/>
    <x v="1"/>
    <x v="0"/>
    <n v="30000"/>
    <x v="1"/>
    <x v="0"/>
    <x v="1"/>
    <x v="0"/>
    <n v="0"/>
    <x v="0"/>
    <x v="0"/>
    <x v="15"/>
    <x v="0"/>
    <x v="1"/>
  </r>
  <r>
    <x v="467"/>
    <x v="1"/>
    <x v="1"/>
    <n v="100000"/>
    <x v="0"/>
    <x v="0"/>
    <x v="4"/>
    <x v="1"/>
    <n v="3"/>
    <x v="0"/>
    <x v="1"/>
    <x v="30"/>
    <x v="0"/>
    <x v="1"/>
  </r>
  <r>
    <x v="468"/>
    <x v="0"/>
    <x v="0"/>
    <n v="80000"/>
    <x v="2"/>
    <x v="4"/>
    <x v="4"/>
    <x v="0"/>
    <n v="3"/>
    <x v="0"/>
    <x v="1"/>
    <x v="8"/>
    <x v="0"/>
    <x v="0"/>
  </r>
  <r>
    <x v="469"/>
    <x v="0"/>
    <x v="0"/>
    <n v="30000"/>
    <x v="0"/>
    <x v="0"/>
    <x v="1"/>
    <x v="0"/>
    <n v="0"/>
    <x v="0"/>
    <x v="0"/>
    <x v="27"/>
    <x v="1"/>
    <x v="0"/>
  </r>
  <r>
    <x v="470"/>
    <x v="1"/>
    <x v="1"/>
    <n v="30000"/>
    <x v="3"/>
    <x v="2"/>
    <x v="3"/>
    <x v="1"/>
    <n v="1"/>
    <x v="3"/>
    <x v="0"/>
    <x v="26"/>
    <x v="2"/>
    <x v="0"/>
  </r>
  <r>
    <x v="471"/>
    <x v="1"/>
    <x v="1"/>
    <n v="70000"/>
    <x v="3"/>
    <x v="0"/>
    <x v="2"/>
    <x v="1"/>
    <n v="2"/>
    <x v="2"/>
    <x v="1"/>
    <x v="1"/>
    <x v="0"/>
    <x v="1"/>
  </r>
  <r>
    <x v="472"/>
    <x v="1"/>
    <x v="0"/>
    <n v="40000"/>
    <x v="3"/>
    <x v="4"/>
    <x v="1"/>
    <x v="0"/>
    <n v="0"/>
    <x v="0"/>
    <x v="0"/>
    <x v="13"/>
    <x v="0"/>
    <x v="1"/>
  </r>
  <r>
    <x v="473"/>
    <x v="0"/>
    <x v="0"/>
    <n v="30000"/>
    <x v="3"/>
    <x v="0"/>
    <x v="1"/>
    <x v="0"/>
    <n v="0"/>
    <x v="0"/>
    <x v="0"/>
    <x v="15"/>
    <x v="0"/>
    <x v="1"/>
  </r>
  <r>
    <x v="474"/>
    <x v="0"/>
    <x v="0"/>
    <n v="90000"/>
    <x v="4"/>
    <x v="0"/>
    <x v="2"/>
    <x v="1"/>
    <n v="0"/>
    <x v="0"/>
    <x v="1"/>
    <x v="4"/>
    <x v="0"/>
    <x v="1"/>
  </r>
  <r>
    <x v="475"/>
    <x v="0"/>
    <x v="1"/>
    <n v="20000"/>
    <x v="5"/>
    <x v="2"/>
    <x v="0"/>
    <x v="1"/>
    <n v="2"/>
    <x v="3"/>
    <x v="1"/>
    <x v="2"/>
    <x v="1"/>
    <x v="0"/>
  </r>
  <r>
    <x v="476"/>
    <x v="1"/>
    <x v="0"/>
    <n v="70000"/>
    <x v="3"/>
    <x v="0"/>
    <x v="2"/>
    <x v="0"/>
    <n v="1"/>
    <x v="2"/>
    <x v="1"/>
    <x v="0"/>
    <x v="0"/>
    <x v="1"/>
  </r>
  <r>
    <x v="477"/>
    <x v="0"/>
    <x v="1"/>
    <n v="70000"/>
    <x v="4"/>
    <x v="2"/>
    <x v="0"/>
    <x v="1"/>
    <n v="2"/>
    <x v="3"/>
    <x v="1"/>
    <x v="5"/>
    <x v="0"/>
    <x v="1"/>
  </r>
  <r>
    <x v="478"/>
    <x v="0"/>
    <x v="1"/>
    <n v="30000"/>
    <x v="3"/>
    <x v="0"/>
    <x v="1"/>
    <x v="0"/>
    <n v="0"/>
    <x v="0"/>
    <x v="0"/>
    <x v="11"/>
    <x v="0"/>
    <x v="1"/>
  </r>
  <r>
    <x v="479"/>
    <x v="0"/>
    <x v="1"/>
    <n v="40000"/>
    <x v="0"/>
    <x v="0"/>
    <x v="0"/>
    <x v="0"/>
    <n v="1"/>
    <x v="0"/>
    <x v="0"/>
    <x v="21"/>
    <x v="0"/>
    <x v="1"/>
  </r>
  <r>
    <x v="480"/>
    <x v="0"/>
    <x v="0"/>
    <n v="90000"/>
    <x v="0"/>
    <x v="0"/>
    <x v="2"/>
    <x v="0"/>
    <n v="1"/>
    <x v="2"/>
    <x v="1"/>
    <x v="30"/>
    <x v="0"/>
    <x v="0"/>
  </r>
  <r>
    <x v="481"/>
    <x v="1"/>
    <x v="0"/>
    <n v="40000"/>
    <x v="4"/>
    <x v="1"/>
    <x v="1"/>
    <x v="0"/>
    <n v="0"/>
    <x v="3"/>
    <x v="0"/>
    <x v="6"/>
    <x v="0"/>
    <x v="1"/>
  </r>
  <r>
    <x v="482"/>
    <x v="1"/>
    <x v="1"/>
    <n v="40000"/>
    <x v="3"/>
    <x v="4"/>
    <x v="1"/>
    <x v="1"/>
    <n v="0"/>
    <x v="0"/>
    <x v="0"/>
    <x v="4"/>
    <x v="0"/>
    <x v="1"/>
  </r>
  <r>
    <x v="483"/>
    <x v="0"/>
    <x v="1"/>
    <n v="10000"/>
    <x v="0"/>
    <x v="4"/>
    <x v="1"/>
    <x v="0"/>
    <n v="0"/>
    <x v="0"/>
    <x v="0"/>
    <x v="43"/>
    <x v="1"/>
    <x v="0"/>
  </r>
  <r>
    <x v="484"/>
    <x v="1"/>
    <x v="0"/>
    <n v="30000"/>
    <x v="3"/>
    <x v="1"/>
    <x v="1"/>
    <x v="1"/>
    <n v="1"/>
    <x v="1"/>
    <x v="0"/>
    <x v="23"/>
    <x v="0"/>
    <x v="1"/>
  </r>
  <r>
    <x v="485"/>
    <x v="1"/>
    <x v="1"/>
    <n v="30000"/>
    <x v="4"/>
    <x v="1"/>
    <x v="1"/>
    <x v="0"/>
    <n v="2"/>
    <x v="0"/>
    <x v="0"/>
    <x v="0"/>
    <x v="0"/>
    <x v="0"/>
  </r>
  <r>
    <x v="486"/>
    <x v="0"/>
    <x v="0"/>
    <n v="90000"/>
    <x v="5"/>
    <x v="3"/>
    <x v="0"/>
    <x v="0"/>
    <n v="4"/>
    <x v="4"/>
    <x v="0"/>
    <x v="7"/>
    <x v="1"/>
    <x v="0"/>
  </r>
  <r>
    <x v="487"/>
    <x v="0"/>
    <x v="1"/>
    <n v="40000"/>
    <x v="3"/>
    <x v="0"/>
    <x v="1"/>
    <x v="0"/>
    <n v="0"/>
    <x v="0"/>
    <x v="0"/>
    <x v="32"/>
    <x v="0"/>
    <x v="0"/>
  </r>
  <r>
    <x v="488"/>
    <x v="1"/>
    <x v="0"/>
    <n v="10000"/>
    <x v="3"/>
    <x v="3"/>
    <x v="3"/>
    <x v="0"/>
    <n v="2"/>
    <x v="3"/>
    <x v="0"/>
    <x v="17"/>
    <x v="0"/>
    <x v="0"/>
  </r>
  <r>
    <x v="489"/>
    <x v="0"/>
    <x v="1"/>
    <n v="20000"/>
    <x v="3"/>
    <x v="3"/>
    <x v="3"/>
    <x v="0"/>
    <n v="2"/>
    <x v="0"/>
    <x v="0"/>
    <x v="21"/>
    <x v="0"/>
    <x v="0"/>
  </r>
  <r>
    <x v="490"/>
    <x v="0"/>
    <x v="1"/>
    <n v="60000"/>
    <x v="5"/>
    <x v="0"/>
    <x v="2"/>
    <x v="0"/>
    <n v="0"/>
    <x v="1"/>
    <x v="2"/>
    <x v="30"/>
    <x v="0"/>
    <x v="0"/>
  </r>
  <r>
    <x v="491"/>
    <x v="0"/>
    <x v="1"/>
    <n v="70000"/>
    <x v="4"/>
    <x v="3"/>
    <x v="0"/>
    <x v="0"/>
    <n v="2"/>
    <x v="2"/>
    <x v="2"/>
    <x v="28"/>
    <x v="0"/>
    <x v="0"/>
  </r>
  <r>
    <x v="492"/>
    <x v="1"/>
    <x v="0"/>
    <n v="40000"/>
    <x v="1"/>
    <x v="1"/>
    <x v="1"/>
    <x v="0"/>
    <n v="1"/>
    <x v="3"/>
    <x v="2"/>
    <x v="23"/>
    <x v="0"/>
    <x v="1"/>
  </r>
  <r>
    <x v="493"/>
    <x v="1"/>
    <x v="1"/>
    <n v="70000"/>
    <x v="2"/>
    <x v="0"/>
    <x v="4"/>
    <x v="0"/>
    <n v="3"/>
    <x v="4"/>
    <x v="2"/>
    <x v="2"/>
    <x v="1"/>
    <x v="1"/>
  </r>
  <r>
    <x v="494"/>
    <x v="0"/>
    <x v="1"/>
    <n v="70000"/>
    <x v="5"/>
    <x v="2"/>
    <x v="2"/>
    <x v="0"/>
    <n v="0"/>
    <x v="2"/>
    <x v="2"/>
    <x v="36"/>
    <x v="0"/>
    <x v="0"/>
  </r>
  <r>
    <x v="495"/>
    <x v="0"/>
    <x v="1"/>
    <n v="60000"/>
    <x v="4"/>
    <x v="1"/>
    <x v="2"/>
    <x v="0"/>
    <n v="2"/>
    <x v="4"/>
    <x v="2"/>
    <x v="16"/>
    <x v="1"/>
    <x v="0"/>
  </r>
  <r>
    <x v="496"/>
    <x v="1"/>
    <x v="0"/>
    <n v="60000"/>
    <x v="1"/>
    <x v="0"/>
    <x v="0"/>
    <x v="0"/>
    <n v="1"/>
    <x v="1"/>
    <x v="2"/>
    <x v="8"/>
    <x v="0"/>
    <x v="1"/>
  </r>
  <r>
    <x v="497"/>
    <x v="1"/>
    <x v="0"/>
    <n v="70000"/>
    <x v="0"/>
    <x v="4"/>
    <x v="2"/>
    <x v="0"/>
    <n v="0"/>
    <x v="1"/>
    <x v="2"/>
    <x v="17"/>
    <x v="0"/>
    <x v="1"/>
  </r>
  <r>
    <x v="498"/>
    <x v="0"/>
    <x v="1"/>
    <n v="80000"/>
    <x v="0"/>
    <x v="1"/>
    <x v="0"/>
    <x v="0"/>
    <n v="1"/>
    <x v="1"/>
    <x v="2"/>
    <x v="28"/>
    <x v="0"/>
    <x v="1"/>
  </r>
  <r>
    <x v="499"/>
    <x v="1"/>
    <x v="0"/>
    <n v="40000"/>
    <x v="3"/>
    <x v="2"/>
    <x v="0"/>
    <x v="1"/>
    <n v="2"/>
    <x v="3"/>
    <x v="2"/>
    <x v="23"/>
    <x v="0"/>
    <x v="1"/>
  </r>
  <r>
    <x v="500"/>
    <x v="0"/>
    <x v="1"/>
    <n v="60000"/>
    <x v="2"/>
    <x v="0"/>
    <x v="2"/>
    <x v="0"/>
    <n v="1"/>
    <x v="1"/>
    <x v="2"/>
    <x v="15"/>
    <x v="0"/>
    <x v="0"/>
  </r>
  <r>
    <x v="501"/>
    <x v="0"/>
    <x v="0"/>
    <n v="50000"/>
    <x v="3"/>
    <x v="4"/>
    <x v="0"/>
    <x v="0"/>
    <n v="0"/>
    <x v="0"/>
    <x v="2"/>
    <x v="17"/>
    <x v="0"/>
    <x v="0"/>
  </r>
  <r>
    <x v="502"/>
    <x v="0"/>
    <x v="1"/>
    <n v="40000"/>
    <x v="3"/>
    <x v="1"/>
    <x v="0"/>
    <x v="0"/>
    <n v="1"/>
    <x v="2"/>
    <x v="2"/>
    <x v="19"/>
    <x v="2"/>
    <x v="0"/>
  </r>
  <r>
    <x v="503"/>
    <x v="0"/>
    <x v="0"/>
    <n v="130000"/>
    <x v="0"/>
    <x v="0"/>
    <x v="4"/>
    <x v="0"/>
    <n v="4"/>
    <x v="1"/>
    <x v="2"/>
    <x v="20"/>
    <x v="0"/>
    <x v="1"/>
  </r>
  <r>
    <x v="504"/>
    <x v="0"/>
    <x v="1"/>
    <n v="70000"/>
    <x v="4"/>
    <x v="0"/>
    <x v="0"/>
    <x v="0"/>
    <n v="1"/>
    <x v="1"/>
    <x v="2"/>
    <x v="13"/>
    <x v="0"/>
    <x v="1"/>
  </r>
  <r>
    <x v="505"/>
    <x v="0"/>
    <x v="1"/>
    <n v="100000"/>
    <x v="5"/>
    <x v="1"/>
    <x v="2"/>
    <x v="0"/>
    <n v="4"/>
    <x v="0"/>
    <x v="2"/>
    <x v="8"/>
    <x v="0"/>
    <x v="0"/>
  </r>
  <r>
    <x v="506"/>
    <x v="0"/>
    <x v="0"/>
    <n v="70000"/>
    <x v="5"/>
    <x v="0"/>
    <x v="2"/>
    <x v="0"/>
    <n v="2"/>
    <x v="1"/>
    <x v="2"/>
    <x v="0"/>
    <x v="0"/>
    <x v="1"/>
  </r>
  <r>
    <x v="507"/>
    <x v="0"/>
    <x v="0"/>
    <n v="40000"/>
    <x v="0"/>
    <x v="1"/>
    <x v="1"/>
    <x v="0"/>
    <n v="1"/>
    <x v="3"/>
    <x v="2"/>
    <x v="36"/>
    <x v="0"/>
    <x v="1"/>
  </r>
  <r>
    <x v="508"/>
    <x v="0"/>
    <x v="1"/>
    <n v="60000"/>
    <x v="3"/>
    <x v="1"/>
    <x v="0"/>
    <x v="1"/>
    <n v="2"/>
    <x v="3"/>
    <x v="2"/>
    <x v="19"/>
    <x v="2"/>
    <x v="0"/>
  </r>
  <r>
    <x v="509"/>
    <x v="0"/>
    <x v="1"/>
    <n v="80000"/>
    <x v="1"/>
    <x v="0"/>
    <x v="2"/>
    <x v="0"/>
    <n v="1"/>
    <x v="1"/>
    <x v="2"/>
    <x v="28"/>
    <x v="0"/>
    <x v="1"/>
  </r>
  <r>
    <x v="510"/>
    <x v="1"/>
    <x v="1"/>
    <n v="70000"/>
    <x v="3"/>
    <x v="0"/>
    <x v="2"/>
    <x v="1"/>
    <n v="1"/>
    <x v="1"/>
    <x v="2"/>
    <x v="34"/>
    <x v="0"/>
    <x v="1"/>
  </r>
  <r>
    <x v="511"/>
    <x v="1"/>
    <x v="1"/>
    <n v="80000"/>
    <x v="5"/>
    <x v="0"/>
    <x v="4"/>
    <x v="0"/>
    <n v="0"/>
    <x v="2"/>
    <x v="2"/>
    <x v="29"/>
    <x v="1"/>
    <x v="1"/>
  </r>
  <r>
    <x v="512"/>
    <x v="0"/>
    <x v="0"/>
    <n v="60000"/>
    <x v="0"/>
    <x v="1"/>
    <x v="0"/>
    <x v="0"/>
    <n v="1"/>
    <x v="0"/>
    <x v="2"/>
    <x v="12"/>
    <x v="0"/>
    <x v="1"/>
  </r>
  <r>
    <x v="513"/>
    <x v="1"/>
    <x v="0"/>
    <n v="60000"/>
    <x v="5"/>
    <x v="4"/>
    <x v="4"/>
    <x v="0"/>
    <n v="2"/>
    <x v="4"/>
    <x v="2"/>
    <x v="33"/>
    <x v="1"/>
    <x v="1"/>
  </r>
  <r>
    <x v="514"/>
    <x v="1"/>
    <x v="1"/>
    <n v="40000"/>
    <x v="3"/>
    <x v="0"/>
    <x v="2"/>
    <x v="1"/>
    <n v="1"/>
    <x v="1"/>
    <x v="2"/>
    <x v="12"/>
    <x v="0"/>
    <x v="0"/>
  </r>
  <r>
    <x v="515"/>
    <x v="0"/>
    <x v="0"/>
    <n v="70000"/>
    <x v="2"/>
    <x v="0"/>
    <x v="2"/>
    <x v="0"/>
    <n v="2"/>
    <x v="1"/>
    <x v="2"/>
    <x v="15"/>
    <x v="0"/>
    <x v="0"/>
  </r>
  <r>
    <x v="516"/>
    <x v="0"/>
    <x v="0"/>
    <n v="60000"/>
    <x v="4"/>
    <x v="2"/>
    <x v="2"/>
    <x v="0"/>
    <n v="2"/>
    <x v="2"/>
    <x v="2"/>
    <x v="38"/>
    <x v="0"/>
    <x v="0"/>
  </r>
  <r>
    <x v="517"/>
    <x v="1"/>
    <x v="1"/>
    <n v="60000"/>
    <x v="1"/>
    <x v="0"/>
    <x v="2"/>
    <x v="1"/>
    <n v="0"/>
    <x v="0"/>
    <x v="2"/>
    <x v="15"/>
    <x v="0"/>
    <x v="1"/>
  </r>
  <r>
    <x v="518"/>
    <x v="0"/>
    <x v="0"/>
    <n v="80000"/>
    <x v="3"/>
    <x v="0"/>
    <x v="4"/>
    <x v="0"/>
    <n v="1"/>
    <x v="3"/>
    <x v="2"/>
    <x v="17"/>
    <x v="0"/>
    <x v="1"/>
  </r>
  <r>
    <x v="519"/>
    <x v="0"/>
    <x v="1"/>
    <n v="80000"/>
    <x v="2"/>
    <x v="0"/>
    <x v="4"/>
    <x v="0"/>
    <n v="2"/>
    <x v="3"/>
    <x v="2"/>
    <x v="46"/>
    <x v="1"/>
    <x v="0"/>
  </r>
  <r>
    <x v="520"/>
    <x v="1"/>
    <x v="1"/>
    <n v="100000"/>
    <x v="0"/>
    <x v="1"/>
    <x v="2"/>
    <x v="1"/>
    <n v="3"/>
    <x v="3"/>
    <x v="2"/>
    <x v="20"/>
    <x v="0"/>
    <x v="0"/>
  </r>
  <r>
    <x v="521"/>
    <x v="1"/>
    <x v="1"/>
    <n v="40000"/>
    <x v="5"/>
    <x v="2"/>
    <x v="2"/>
    <x v="0"/>
    <n v="2"/>
    <x v="4"/>
    <x v="2"/>
    <x v="24"/>
    <x v="1"/>
    <x v="1"/>
  </r>
  <r>
    <x v="522"/>
    <x v="1"/>
    <x v="1"/>
    <n v="60000"/>
    <x v="1"/>
    <x v="0"/>
    <x v="2"/>
    <x v="1"/>
    <n v="1"/>
    <x v="0"/>
    <x v="2"/>
    <x v="15"/>
    <x v="0"/>
    <x v="1"/>
  </r>
  <r>
    <x v="523"/>
    <x v="0"/>
    <x v="1"/>
    <n v="80000"/>
    <x v="1"/>
    <x v="1"/>
    <x v="2"/>
    <x v="1"/>
    <n v="2"/>
    <x v="0"/>
    <x v="2"/>
    <x v="38"/>
    <x v="0"/>
    <x v="1"/>
  </r>
  <r>
    <x v="524"/>
    <x v="1"/>
    <x v="0"/>
    <n v="80000"/>
    <x v="5"/>
    <x v="4"/>
    <x v="4"/>
    <x v="0"/>
    <n v="2"/>
    <x v="2"/>
    <x v="2"/>
    <x v="41"/>
    <x v="1"/>
    <x v="0"/>
  </r>
  <r>
    <x v="525"/>
    <x v="1"/>
    <x v="1"/>
    <n v="60000"/>
    <x v="2"/>
    <x v="0"/>
    <x v="4"/>
    <x v="0"/>
    <n v="3"/>
    <x v="4"/>
    <x v="2"/>
    <x v="14"/>
    <x v="1"/>
    <x v="1"/>
  </r>
  <r>
    <x v="526"/>
    <x v="0"/>
    <x v="0"/>
    <n v="110000"/>
    <x v="0"/>
    <x v="0"/>
    <x v="4"/>
    <x v="0"/>
    <n v="2"/>
    <x v="3"/>
    <x v="2"/>
    <x v="20"/>
    <x v="0"/>
    <x v="0"/>
  </r>
  <r>
    <x v="527"/>
    <x v="0"/>
    <x v="1"/>
    <n v="50000"/>
    <x v="0"/>
    <x v="0"/>
    <x v="0"/>
    <x v="0"/>
    <n v="0"/>
    <x v="0"/>
    <x v="2"/>
    <x v="4"/>
    <x v="0"/>
    <x v="0"/>
  </r>
  <r>
    <x v="528"/>
    <x v="1"/>
    <x v="0"/>
    <n v="30000"/>
    <x v="3"/>
    <x v="1"/>
    <x v="0"/>
    <x v="0"/>
    <n v="1"/>
    <x v="2"/>
    <x v="2"/>
    <x v="26"/>
    <x v="2"/>
    <x v="0"/>
  </r>
  <r>
    <x v="529"/>
    <x v="0"/>
    <x v="1"/>
    <n v="60000"/>
    <x v="4"/>
    <x v="1"/>
    <x v="2"/>
    <x v="0"/>
    <n v="1"/>
    <x v="4"/>
    <x v="2"/>
    <x v="42"/>
    <x v="1"/>
    <x v="1"/>
  </r>
  <r>
    <x v="530"/>
    <x v="0"/>
    <x v="1"/>
    <n v="60000"/>
    <x v="3"/>
    <x v="1"/>
    <x v="0"/>
    <x v="0"/>
    <n v="1"/>
    <x v="2"/>
    <x v="2"/>
    <x v="40"/>
    <x v="2"/>
    <x v="1"/>
  </r>
  <r>
    <x v="531"/>
    <x v="1"/>
    <x v="1"/>
    <n v="30000"/>
    <x v="3"/>
    <x v="3"/>
    <x v="1"/>
    <x v="0"/>
    <n v="2"/>
    <x v="2"/>
    <x v="2"/>
    <x v="26"/>
    <x v="2"/>
    <x v="0"/>
  </r>
  <r>
    <x v="532"/>
    <x v="1"/>
    <x v="0"/>
    <n v="60000"/>
    <x v="0"/>
    <x v="0"/>
    <x v="2"/>
    <x v="1"/>
    <n v="1"/>
    <x v="0"/>
    <x v="2"/>
    <x v="20"/>
    <x v="0"/>
    <x v="1"/>
  </r>
  <r>
    <x v="533"/>
    <x v="0"/>
    <x v="1"/>
    <n v="60000"/>
    <x v="1"/>
    <x v="0"/>
    <x v="4"/>
    <x v="0"/>
    <n v="2"/>
    <x v="4"/>
    <x v="2"/>
    <x v="29"/>
    <x v="1"/>
    <x v="0"/>
  </r>
  <r>
    <x v="534"/>
    <x v="0"/>
    <x v="1"/>
    <n v="40000"/>
    <x v="5"/>
    <x v="2"/>
    <x v="2"/>
    <x v="0"/>
    <n v="2"/>
    <x v="4"/>
    <x v="2"/>
    <x v="46"/>
    <x v="1"/>
    <x v="0"/>
  </r>
  <r>
    <x v="535"/>
    <x v="0"/>
    <x v="1"/>
    <n v="50000"/>
    <x v="1"/>
    <x v="0"/>
    <x v="0"/>
    <x v="0"/>
    <n v="3"/>
    <x v="4"/>
    <x v="2"/>
    <x v="3"/>
    <x v="0"/>
    <x v="0"/>
  </r>
  <r>
    <x v="536"/>
    <x v="1"/>
    <x v="0"/>
    <n v="80000"/>
    <x v="1"/>
    <x v="0"/>
    <x v="0"/>
    <x v="0"/>
    <n v="1"/>
    <x v="0"/>
    <x v="2"/>
    <x v="3"/>
    <x v="0"/>
    <x v="1"/>
  </r>
  <r>
    <x v="537"/>
    <x v="0"/>
    <x v="0"/>
    <n v="40000"/>
    <x v="0"/>
    <x v="1"/>
    <x v="1"/>
    <x v="0"/>
    <n v="1"/>
    <x v="3"/>
    <x v="2"/>
    <x v="38"/>
    <x v="0"/>
    <x v="1"/>
  </r>
  <r>
    <x v="538"/>
    <x v="0"/>
    <x v="0"/>
    <n v="80000"/>
    <x v="5"/>
    <x v="0"/>
    <x v="4"/>
    <x v="0"/>
    <n v="0"/>
    <x v="0"/>
    <x v="2"/>
    <x v="0"/>
    <x v="0"/>
    <x v="0"/>
  </r>
  <r>
    <x v="539"/>
    <x v="1"/>
    <x v="0"/>
    <n v="70000"/>
    <x v="3"/>
    <x v="0"/>
    <x v="2"/>
    <x v="1"/>
    <n v="1"/>
    <x v="1"/>
    <x v="2"/>
    <x v="34"/>
    <x v="0"/>
    <x v="1"/>
  </r>
  <r>
    <x v="540"/>
    <x v="1"/>
    <x v="0"/>
    <n v="70000"/>
    <x v="1"/>
    <x v="4"/>
    <x v="4"/>
    <x v="0"/>
    <n v="2"/>
    <x v="3"/>
    <x v="2"/>
    <x v="31"/>
    <x v="0"/>
    <x v="0"/>
  </r>
  <r>
    <x v="541"/>
    <x v="0"/>
    <x v="1"/>
    <n v="50000"/>
    <x v="0"/>
    <x v="4"/>
    <x v="0"/>
    <x v="0"/>
    <n v="0"/>
    <x v="3"/>
    <x v="2"/>
    <x v="17"/>
    <x v="0"/>
    <x v="0"/>
  </r>
  <r>
    <x v="542"/>
    <x v="0"/>
    <x v="1"/>
    <n v="40000"/>
    <x v="3"/>
    <x v="2"/>
    <x v="0"/>
    <x v="0"/>
    <n v="2"/>
    <x v="2"/>
    <x v="2"/>
    <x v="19"/>
    <x v="2"/>
    <x v="0"/>
  </r>
  <r>
    <x v="543"/>
    <x v="0"/>
    <x v="0"/>
    <n v="70000"/>
    <x v="4"/>
    <x v="2"/>
    <x v="2"/>
    <x v="0"/>
    <n v="2"/>
    <x v="1"/>
    <x v="2"/>
    <x v="39"/>
    <x v="0"/>
    <x v="0"/>
  </r>
  <r>
    <x v="544"/>
    <x v="1"/>
    <x v="1"/>
    <n v="120000"/>
    <x v="4"/>
    <x v="0"/>
    <x v="4"/>
    <x v="1"/>
    <n v="4"/>
    <x v="3"/>
    <x v="2"/>
    <x v="8"/>
    <x v="0"/>
    <x v="0"/>
  </r>
  <r>
    <x v="545"/>
    <x v="1"/>
    <x v="1"/>
    <n v="60000"/>
    <x v="3"/>
    <x v="1"/>
    <x v="0"/>
    <x v="1"/>
    <n v="2"/>
    <x v="3"/>
    <x v="2"/>
    <x v="19"/>
    <x v="2"/>
    <x v="0"/>
  </r>
  <r>
    <x v="546"/>
    <x v="0"/>
    <x v="1"/>
    <n v="60000"/>
    <x v="5"/>
    <x v="0"/>
    <x v="2"/>
    <x v="0"/>
    <n v="2"/>
    <x v="1"/>
    <x v="2"/>
    <x v="1"/>
    <x v="0"/>
    <x v="1"/>
  </r>
  <r>
    <x v="547"/>
    <x v="0"/>
    <x v="1"/>
    <n v="60000"/>
    <x v="4"/>
    <x v="2"/>
    <x v="2"/>
    <x v="0"/>
    <n v="2"/>
    <x v="1"/>
    <x v="2"/>
    <x v="10"/>
    <x v="0"/>
    <x v="1"/>
  </r>
  <r>
    <x v="548"/>
    <x v="1"/>
    <x v="0"/>
    <n v="80000"/>
    <x v="5"/>
    <x v="4"/>
    <x v="0"/>
    <x v="1"/>
    <n v="0"/>
    <x v="0"/>
    <x v="2"/>
    <x v="28"/>
    <x v="0"/>
    <x v="0"/>
  </r>
  <r>
    <x v="549"/>
    <x v="0"/>
    <x v="0"/>
    <n v="130000"/>
    <x v="1"/>
    <x v="0"/>
    <x v="4"/>
    <x v="0"/>
    <n v="3"/>
    <x v="0"/>
    <x v="2"/>
    <x v="12"/>
    <x v="0"/>
    <x v="1"/>
  </r>
  <r>
    <x v="550"/>
    <x v="1"/>
    <x v="0"/>
    <n v="70000"/>
    <x v="3"/>
    <x v="0"/>
    <x v="2"/>
    <x v="1"/>
    <n v="1"/>
    <x v="0"/>
    <x v="1"/>
    <x v="0"/>
    <x v="0"/>
    <x v="1"/>
  </r>
  <r>
    <x v="551"/>
    <x v="0"/>
    <x v="0"/>
    <n v="50000"/>
    <x v="5"/>
    <x v="0"/>
    <x v="4"/>
    <x v="0"/>
    <n v="2"/>
    <x v="4"/>
    <x v="2"/>
    <x v="18"/>
    <x v="1"/>
    <x v="0"/>
  </r>
  <r>
    <x v="552"/>
    <x v="1"/>
    <x v="1"/>
    <n v="60000"/>
    <x v="1"/>
    <x v="2"/>
    <x v="2"/>
    <x v="0"/>
    <n v="2"/>
    <x v="4"/>
    <x v="2"/>
    <x v="9"/>
    <x v="0"/>
    <x v="1"/>
  </r>
  <r>
    <x v="553"/>
    <x v="0"/>
    <x v="1"/>
    <n v="40000"/>
    <x v="1"/>
    <x v="1"/>
    <x v="2"/>
    <x v="1"/>
    <n v="2"/>
    <x v="2"/>
    <x v="2"/>
    <x v="49"/>
    <x v="1"/>
    <x v="1"/>
  </r>
  <r>
    <x v="554"/>
    <x v="0"/>
    <x v="0"/>
    <n v="60000"/>
    <x v="4"/>
    <x v="4"/>
    <x v="2"/>
    <x v="0"/>
    <n v="0"/>
    <x v="1"/>
    <x v="2"/>
    <x v="8"/>
    <x v="0"/>
    <x v="1"/>
  </r>
  <r>
    <x v="555"/>
    <x v="1"/>
    <x v="1"/>
    <n v="50000"/>
    <x v="3"/>
    <x v="1"/>
    <x v="0"/>
    <x v="1"/>
    <n v="1"/>
    <x v="1"/>
    <x v="2"/>
    <x v="32"/>
    <x v="0"/>
    <x v="1"/>
  </r>
  <r>
    <x v="556"/>
    <x v="0"/>
    <x v="1"/>
    <n v="80000"/>
    <x v="5"/>
    <x v="0"/>
    <x v="4"/>
    <x v="0"/>
    <n v="0"/>
    <x v="3"/>
    <x v="2"/>
    <x v="0"/>
    <x v="0"/>
    <x v="0"/>
  </r>
  <r>
    <x v="557"/>
    <x v="0"/>
    <x v="0"/>
    <n v="40000"/>
    <x v="1"/>
    <x v="1"/>
    <x v="1"/>
    <x v="0"/>
    <n v="0"/>
    <x v="3"/>
    <x v="2"/>
    <x v="23"/>
    <x v="0"/>
    <x v="0"/>
  </r>
  <r>
    <x v="558"/>
    <x v="0"/>
    <x v="0"/>
    <n v="50000"/>
    <x v="1"/>
    <x v="0"/>
    <x v="0"/>
    <x v="0"/>
    <n v="2"/>
    <x v="0"/>
    <x v="2"/>
    <x v="3"/>
    <x v="0"/>
    <x v="0"/>
  </r>
  <r>
    <x v="559"/>
    <x v="1"/>
    <x v="0"/>
    <n v="60000"/>
    <x v="4"/>
    <x v="0"/>
    <x v="4"/>
    <x v="0"/>
    <n v="0"/>
    <x v="4"/>
    <x v="2"/>
    <x v="7"/>
    <x v="1"/>
    <x v="0"/>
  </r>
  <r>
    <x v="560"/>
    <x v="0"/>
    <x v="0"/>
    <n v="60000"/>
    <x v="3"/>
    <x v="4"/>
    <x v="2"/>
    <x v="0"/>
    <n v="0"/>
    <x v="0"/>
    <x v="2"/>
    <x v="8"/>
    <x v="0"/>
    <x v="0"/>
  </r>
  <r>
    <x v="561"/>
    <x v="0"/>
    <x v="0"/>
    <n v="20000"/>
    <x v="4"/>
    <x v="3"/>
    <x v="1"/>
    <x v="1"/>
    <n v="0"/>
    <x v="0"/>
    <x v="2"/>
    <x v="28"/>
    <x v="0"/>
    <x v="0"/>
  </r>
  <r>
    <x v="562"/>
    <x v="0"/>
    <x v="0"/>
    <n v="70000"/>
    <x v="4"/>
    <x v="4"/>
    <x v="2"/>
    <x v="0"/>
    <n v="0"/>
    <x v="1"/>
    <x v="2"/>
    <x v="17"/>
    <x v="0"/>
    <x v="1"/>
  </r>
  <r>
    <x v="563"/>
    <x v="1"/>
    <x v="0"/>
    <n v="30000"/>
    <x v="3"/>
    <x v="1"/>
    <x v="0"/>
    <x v="0"/>
    <n v="1"/>
    <x v="2"/>
    <x v="2"/>
    <x v="26"/>
    <x v="2"/>
    <x v="0"/>
  </r>
  <r>
    <x v="564"/>
    <x v="1"/>
    <x v="1"/>
    <n v="30000"/>
    <x v="3"/>
    <x v="1"/>
    <x v="0"/>
    <x v="0"/>
    <n v="1"/>
    <x v="2"/>
    <x v="2"/>
    <x v="40"/>
    <x v="2"/>
    <x v="0"/>
  </r>
  <r>
    <x v="565"/>
    <x v="0"/>
    <x v="1"/>
    <n v="40000"/>
    <x v="1"/>
    <x v="1"/>
    <x v="2"/>
    <x v="1"/>
    <n v="2"/>
    <x v="2"/>
    <x v="2"/>
    <x v="9"/>
    <x v="0"/>
    <x v="1"/>
  </r>
  <r>
    <x v="566"/>
    <x v="0"/>
    <x v="0"/>
    <n v="60000"/>
    <x v="4"/>
    <x v="4"/>
    <x v="4"/>
    <x v="0"/>
    <n v="2"/>
    <x v="2"/>
    <x v="2"/>
    <x v="43"/>
    <x v="1"/>
    <x v="0"/>
  </r>
  <r>
    <x v="567"/>
    <x v="0"/>
    <x v="1"/>
    <n v="40000"/>
    <x v="0"/>
    <x v="1"/>
    <x v="1"/>
    <x v="0"/>
    <n v="1"/>
    <x v="3"/>
    <x v="2"/>
    <x v="28"/>
    <x v="0"/>
    <x v="1"/>
  </r>
  <r>
    <x v="568"/>
    <x v="0"/>
    <x v="1"/>
    <n v="70000"/>
    <x v="0"/>
    <x v="1"/>
    <x v="0"/>
    <x v="0"/>
    <n v="1"/>
    <x v="1"/>
    <x v="2"/>
    <x v="20"/>
    <x v="0"/>
    <x v="1"/>
  </r>
  <r>
    <x v="569"/>
    <x v="1"/>
    <x v="1"/>
    <n v="50000"/>
    <x v="1"/>
    <x v="4"/>
    <x v="4"/>
    <x v="0"/>
    <n v="2"/>
    <x v="4"/>
    <x v="2"/>
    <x v="45"/>
    <x v="1"/>
    <x v="0"/>
  </r>
  <r>
    <x v="570"/>
    <x v="0"/>
    <x v="1"/>
    <n v="70000"/>
    <x v="1"/>
    <x v="3"/>
    <x v="0"/>
    <x v="0"/>
    <n v="2"/>
    <x v="2"/>
    <x v="2"/>
    <x v="31"/>
    <x v="0"/>
    <x v="0"/>
  </r>
  <r>
    <x v="571"/>
    <x v="0"/>
    <x v="1"/>
    <n v="40000"/>
    <x v="4"/>
    <x v="3"/>
    <x v="0"/>
    <x v="0"/>
    <n v="2"/>
    <x v="1"/>
    <x v="2"/>
    <x v="10"/>
    <x v="0"/>
    <x v="0"/>
  </r>
  <r>
    <x v="572"/>
    <x v="1"/>
    <x v="1"/>
    <n v="30000"/>
    <x v="3"/>
    <x v="2"/>
    <x v="0"/>
    <x v="0"/>
    <n v="2"/>
    <x v="2"/>
    <x v="2"/>
    <x v="25"/>
    <x v="2"/>
    <x v="0"/>
  </r>
  <r>
    <x v="573"/>
    <x v="0"/>
    <x v="1"/>
    <n v="60000"/>
    <x v="1"/>
    <x v="4"/>
    <x v="4"/>
    <x v="0"/>
    <n v="2"/>
    <x v="3"/>
    <x v="2"/>
    <x v="18"/>
    <x v="1"/>
    <x v="0"/>
  </r>
  <r>
    <x v="574"/>
    <x v="1"/>
    <x v="0"/>
    <n v="80000"/>
    <x v="3"/>
    <x v="0"/>
    <x v="4"/>
    <x v="0"/>
    <n v="1"/>
    <x v="3"/>
    <x v="2"/>
    <x v="17"/>
    <x v="0"/>
    <x v="1"/>
  </r>
  <r>
    <x v="575"/>
    <x v="1"/>
    <x v="1"/>
    <n v="60000"/>
    <x v="4"/>
    <x v="1"/>
    <x v="2"/>
    <x v="0"/>
    <n v="1"/>
    <x v="4"/>
    <x v="2"/>
    <x v="16"/>
    <x v="1"/>
    <x v="0"/>
  </r>
  <r>
    <x v="576"/>
    <x v="1"/>
    <x v="0"/>
    <n v="40000"/>
    <x v="3"/>
    <x v="2"/>
    <x v="0"/>
    <x v="0"/>
    <n v="1"/>
    <x v="2"/>
    <x v="2"/>
    <x v="23"/>
    <x v="0"/>
    <x v="0"/>
  </r>
  <r>
    <x v="577"/>
    <x v="0"/>
    <x v="1"/>
    <n v="120000"/>
    <x v="0"/>
    <x v="0"/>
    <x v="4"/>
    <x v="0"/>
    <n v="4"/>
    <x v="0"/>
    <x v="2"/>
    <x v="13"/>
    <x v="0"/>
    <x v="0"/>
  </r>
  <r>
    <x v="578"/>
    <x v="0"/>
    <x v="1"/>
    <n v="60000"/>
    <x v="5"/>
    <x v="0"/>
    <x v="4"/>
    <x v="0"/>
    <n v="2"/>
    <x v="1"/>
    <x v="2"/>
    <x v="14"/>
    <x v="1"/>
    <x v="0"/>
  </r>
  <r>
    <x v="579"/>
    <x v="1"/>
    <x v="0"/>
    <n v="40000"/>
    <x v="1"/>
    <x v="1"/>
    <x v="1"/>
    <x v="1"/>
    <n v="2"/>
    <x v="0"/>
    <x v="2"/>
    <x v="21"/>
    <x v="0"/>
    <x v="0"/>
  </r>
  <r>
    <x v="580"/>
    <x v="0"/>
    <x v="0"/>
    <n v="60000"/>
    <x v="1"/>
    <x v="4"/>
    <x v="4"/>
    <x v="0"/>
    <n v="2"/>
    <x v="4"/>
    <x v="2"/>
    <x v="45"/>
    <x v="1"/>
    <x v="0"/>
  </r>
  <r>
    <x v="581"/>
    <x v="0"/>
    <x v="1"/>
    <n v="40000"/>
    <x v="3"/>
    <x v="1"/>
    <x v="0"/>
    <x v="0"/>
    <n v="1"/>
    <x v="2"/>
    <x v="2"/>
    <x v="26"/>
    <x v="2"/>
    <x v="0"/>
  </r>
  <r>
    <x v="582"/>
    <x v="0"/>
    <x v="1"/>
    <n v="80000"/>
    <x v="5"/>
    <x v="4"/>
    <x v="0"/>
    <x v="0"/>
    <n v="0"/>
    <x v="3"/>
    <x v="2"/>
    <x v="15"/>
    <x v="0"/>
    <x v="0"/>
  </r>
  <r>
    <x v="583"/>
    <x v="0"/>
    <x v="1"/>
    <n v="60000"/>
    <x v="1"/>
    <x v="0"/>
    <x v="4"/>
    <x v="0"/>
    <n v="2"/>
    <x v="4"/>
    <x v="2"/>
    <x v="29"/>
    <x v="1"/>
    <x v="0"/>
  </r>
  <r>
    <x v="584"/>
    <x v="1"/>
    <x v="1"/>
    <n v="70000"/>
    <x v="4"/>
    <x v="0"/>
    <x v="0"/>
    <x v="1"/>
    <n v="1"/>
    <x v="0"/>
    <x v="2"/>
    <x v="34"/>
    <x v="0"/>
    <x v="1"/>
  </r>
  <r>
    <x v="585"/>
    <x v="1"/>
    <x v="1"/>
    <n v="120000"/>
    <x v="4"/>
    <x v="0"/>
    <x v="4"/>
    <x v="1"/>
    <n v="3"/>
    <x v="0"/>
    <x v="2"/>
    <x v="32"/>
    <x v="0"/>
    <x v="1"/>
  </r>
  <r>
    <x v="586"/>
    <x v="0"/>
    <x v="1"/>
    <n v="60000"/>
    <x v="4"/>
    <x v="2"/>
    <x v="2"/>
    <x v="1"/>
    <n v="2"/>
    <x v="3"/>
    <x v="2"/>
    <x v="36"/>
    <x v="0"/>
    <x v="0"/>
  </r>
  <r>
    <x v="587"/>
    <x v="0"/>
    <x v="0"/>
    <n v="130000"/>
    <x v="3"/>
    <x v="4"/>
    <x v="4"/>
    <x v="0"/>
    <n v="3"/>
    <x v="3"/>
    <x v="2"/>
    <x v="8"/>
    <x v="0"/>
    <x v="0"/>
  </r>
  <r>
    <x v="588"/>
    <x v="0"/>
    <x v="0"/>
    <n v="90000"/>
    <x v="4"/>
    <x v="2"/>
    <x v="2"/>
    <x v="0"/>
    <n v="1"/>
    <x v="4"/>
    <x v="2"/>
    <x v="36"/>
    <x v="0"/>
    <x v="1"/>
  </r>
  <r>
    <x v="589"/>
    <x v="1"/>
    <x v="1"/>
    <n v="60000"/>
    <x v="4"/>
    <x v="0"/>
    <x v="4"/>
    <x v="0"/>
    <n v="0"/>
    <x v="4"/>
    <x v="2"/>
    <x v="42"/>
    <x v="1"/>
    <x v="0"/>
  </r>
  <r>
    <x v="590"/>
    <x v="0"/>
    <x v="0"/>
    <n v="60000"/>
    <x v="0"/>
    <x v="4"/>
    <x v="2"/>
    <x v="1"/>
    <n v="0"/>
    <x v="0"/>
    <x v="2"/>
    <x v="11"/>
    <x v="0"/>
    <x v="1"/>
  </r>
  <r>
    <x v="591"/>
    <x v="0"/>
    <x v="1"/>
    <n v="40000"/>
    <x v="5"/>
    <x v="2"/>
    <x v="2"/>
    <x v="1"/>
    <n v="2"/>
    <x v="4"/>
    <x v="2"/>
    <x v="33"/>
    <x v="1"/>
    <x v="1"/>
  </r>
  <r>
    <x v="592"/>
    <x v="1"/>
    <x v="0"/>
    <n v="80000"/>
    <x v="2"/>
    <x v="1"/>
    <x v="2"/>
    <x v="0"/>
    <n v="2"/>
    <x v="2"/>
    <x v="2"/>
    <x v="20"/>
    <x v="0"/>
    <x v="0"/>
  </r>
  <r>
    <x v="593"/>
    <x v="1"/>
    <x v="0"/>
    <n v="70000"/>
    <x v="4"/>
    <x v="1"/>
    <x v="2"/>
    <x v="0"/>
    <n v="0"/>
    <x v="2"/>
    <x v="2"/>
    <x v="38"/>
    <x v="0"/>
    <x v="1"/>
  </r>
  <r>
    <x v="594"/>
    <x v="0"/>
    <x v="1"/>
    <n v="80000"/>
    <x v="5"/>
    <x v="4"/>
    <x v="4"/>
    <x v="0"/>
    <n v="2"/>
    <x v="2"/>
    <x v="2"/>
    <x v="43"/>
    <x v="1"/>
    <x v="0"/>
  </r>
  <r>
    <x v="595"/>
    <x v="1"/>
    <x v="0"/>
    <n v="20000"/>
    <x v="1"/>
    <x v="2"/>
    <x v="0"/>
    <x v="0"/>
    <n v="2"/>
    <x v="1"/>
    <x v="2"/>
    <x v="44"/>
    <x v="1"/>
    <x v="0"/>
  </r>
  <r>
    <x v="596"/>
    <x v="0"/>
    <x v="0"/>
    <n v="90000"/>
    <x v="5"/>
    <x v="1"/>
    <x v="2"/>
    <x v="0"/>
    <n v="1"/>
    <x v="3"/>
    <x v="2"/>
    <x v="12"/>
    <x v="0"/>
    <x v="0"/>
  </r>
  <r>
    <x v="597"/>
    <x v="1"/>
    <x v="1"/>
    <n v="40000"/>
    <x v="4"/>
    <x v="2"/>
    <x v="2"/>
    <x v="1"/>
    <n v="1"/>
    <x v="1"/>
    <x v="2"/>
    <x v="7"/>
    <x v="1"/>
    <x v="1"/>
  </r>
  <r>
    <x v="598"/>
    <x v="0"/>
    <x v="1"/>
    <n v="130000"/>
    <x v="0"/>
    <x v="4"/>
    <x v="4"/>
    <x v="0"/>
    <n v="4"/>
    <x v="0"/>
    <x v="2"/>
    <x v="3"/>
    <x v="0"/>
    <x v="0"/>
  </r>
  <r>
    <x v="599"/>
    <x v="0"/>
    <x v="0"/>
    <n v="60000"/>
    <x v="4"/>
    <x v="1"/>
    <x v="2"/>
    <x v="0"/>
    <n v="1"/>
    <x v="1"/>
    <x v="2"/>
    <x v="42"/>
    <x v="1"/>
    <x v="1"/>
  </r>
  <r>
    <x v="600"/>
    <x v="0"/>
    <x v="1"/>
    <n v="30000"/>
    <x v="4"/>
    <x v="2"/>
    <x v="0"/>
    <x v="1"/>
    <n v="2"/>
    <x v="0"/>
    <x v="2"/>
    <x v="38"/>
    <x v="0"/>
    <x v="0"/>
  </r>
  <r>
    <x v="601"/>
    <x v="1"/>
    <x v="1"/>
    <n v="80000"/>
    <x v="5"/>
    <x v="1"/>
    <x v="2"/>
    <x v="1"/>
    <n v="2"/>
    <x v="0"/>
    <x v="2"/>
    <x v="1"/>
    <x v="0"/>
    <x v="0"/>
  </r>
  <r>
    <x v="602"/>
    <x v="1"/>
    <x v="1"/>
    <n v="60000"/>
    <x v="4"/>
    <x v="3"/>
    <x v="0"/>
    <x v="0"/>
    <n v="2"/>
    <x v="2"/>
    <x v="2"/>
    <x v="31"/>
    <x v="0"/>
    <x v="1"/>
  </r>
  <r>
    <x v="603"/>
    <x v="0"/>
    <x v="1"/>
    <n v="60000"/>
    <x v="0"/>
    <x v="4"/>
    <x v="2"/>
    <x v="0"/>
    <n v="0"/>
    <x v="0"/>
    <x v="2"/>
    <x v="11"/>
    <x v="0"/>
    <x v="1"/>
  </r>
  <r>
    <x v="604"/>
    <x v="0"/>
    <x v="1"/>
    <n v="40000"/>
    <x v="3"/>
    <x v="2"/>
    <x v="0"/>
    <x v="0"/>
    <n v="2"/>
    <x v="2"/>
    <x v="2"/>
    <x v="40"/>
    <x v="2"/>
    <x v="0"/>
  </r>
  <r>
    <x v="605"/>
    <x v="1"/>
    <x v="1"/>
    <n v="70000"/>
    <x v="1"/>
    <x v="2"/>
    <x v="2"/>
    <x v="0"/>
    <n v="0"/>
    <x v="2"/>
    <x v="2"/>
    <x v="31"/>
    <x v="0"/>
    <x v="1"/>
  </r>
  <r>
    <x v="606"/>
    <x v="1"/>
    <x v="1"/>
    <n v="40000"/>
    <x v="4"/>
    <x v="0"/>
    <x v="0"/>
    <x v="0"/>
    <n v="0"/>
    <x v="1"/>
    <x v="2"/>
    <x v="4"/>
    <x v="0"/>
    <x v="0"/>
  </r>
  <r>
    <x v="607"/>
    <x v="1"/>
    <x v="0"/>
    <n v="70000"/>
    <x v="2"/>
    <x v="4"/>
    <x v="2"/>
    <x v="0"/>
    <n v="3"/>
    <x v="4"/>
    <x v="2"/>
    <x v="30"/>
    <x v="0"/>
    <x v="1"/>
  </r>
  <r>
    <x v="608"/>
    <x v="0"/>
    <x v="1"/>
    <n v="60000"/>
    <x v="1"/>
    <x v="3"/>
    <x v="0"/>
    <x v="0"/>
    <n v="2"/>
    <x v="2"/>
    <x v="2"/>
    <x v="31"/>
    <x v="0"/>
    <x v="1"/>
  </r>
  <r>
    <x v="609"/>
    <x v="0"/>
    <x v="1"/>
    <n v="70000"/>
    <x v="3"/>
    <x v="0"/>
    <x v="2"/>
    <x v="1"/>
    <n v="1"/>
    <x v="0"/>
    <x v="2"/>
    <x v="1"/>
    <x v="0"/>
    <x v="0"/>
  </r>
  <r>
    <x v="610"/>
    <x v="0"/>
    <x v="1"/>
    <n v="60000"/>
    <x v="0"/>
    <x v="1"/>
    <x v="0"/>
    <x v="0"/>
    <n v="1"/>
    <x v="1"/>
    <x v="2"/>
    <x v="20"/>
    <x v="0"/>
    <x v="0"/>
  </r>
  <r>
    <x v="611"/>
    <x v="0"/>
    <x v="0"/>
    <n v="80000"/>
    <x v="3"/>
    <x v="0"/>
    <x v="4"/>
    <x v="0"/>
    <n v="1"/>
    <x v="3"/>
    <x v="2"/>
    <x v="17"/>
    <x v="0"/>
    <x v="1"/>
  </r>
  <r>
    <x v="612"/>
    <x v="1"/>
    <x v="0"/>
    <n v="30000"/>
    <x v="3"/>
    <x v="3"/>
    <x v="1"/>
    <x v="0"/>
    <n v="2"/>
    <x v="2"/>
    <x v="2"/>
    <x v="40"/>
    <x v="2"/>
    <x v="0"/>
  </r>
  <r>
    <x v="613"/>
    <x v="1"/>
    <x v="1"/>
    <n v="110000"/>
    <x v="0"/>
    <x v="1"/>
    <x v="2"/>
    <x v="0"/>
    <n v="4"/>
    <x v="2"/>
    <x v="2"/>
    <x v="12"/>
    <x v="0"/>
    <x v="1"/>
  </r>
  <r>
    <x v="614"/>
    <x v="0"/>
    <x v="0"/>
    <n v="100000"/>
    <x v="1"/>
    <x v="1"/>
    <x v="2"/>
    <x v="0"/>
    <n v="4"/>
    <x v="3"/>
    <x v="2"/>
    <x v="12"/>
    <x v="0"/>
    <x v="0"/>
  </r>
  <r>
    <x v="615"/>
    <x v="1"/>
    <x v="0"/>
    <n v="60000"/>
    <x v="5"/>
    <x v="4"/>
    <x v="0"/>
    <x v="1"/>
    <n v="0"/>
    <x v="0"/>
    <x v="2"/>
    <x v="15"/>
    <x v="0"/>
    <x v="1"/>
  </r>
  <r>
    <x v="616"/>
    <x v="1"/>
    <x v="0"/>
    <n v="80000"/>
    <x v="5"/>
    <x v="4"/>
    <x v="0"/>
    <x v="0"/>
    <n v="0"/>
    <x v="3"/>
    <x v="2"/>
    <x v="15"/>
    <x v="0"/>
    <x v="0"/>
  </r>
  <r>
    <x v="617"/>
    <x v="0"/>
    <x v="1"/>
    <n v="40000"/>
    <x v="5"/>
    <x v="2"/>
    <x v="0"/>
    <x v="0"/>
    <n v="2"/>
    <x v="1"/>
    <x v="2"/>
    <x v="20"/>
    <x v="0"/>
    <x v="1"/>
  </r>
  <r>
    <x v="618"/>
    <x v="1"/>
    <x v="0"/>
    <n v="20000"/>
    <x v="1"/>
    <x v="3"/>
    <x v="1"/>
    <x v="1"/>
    <n v="2"/>
    <x v="0"/>
    <x v="2"/>
    <x v="38"/>
    <x v="0"/>
    <x v="0"/>
  </r>
  <r>
    <x v="619"/>
    <x v="1"/>
    <x v="0"/>
    <n v="40000"/>
    <x v="3"/>
    <x v="2"/>
    <x v="0"/>
    <x v="0"/>
    <n v="1"/>
    <x v="2"/>
    <x v="2"/>
    <x v="25"/>
    <x v="2"/>
    <x v="0"/>
  </r>
  <r>
    <x v="620"/>
    <x v="0"/>
    <x v="0"/>
    <n v="100000"/>
    <x v="5"/>
    <x v="1"/>
    <x v="2"/>
    <x v="0"/>
    <n v="4"/>
    <x v="1"/>
    <x v="2"/>
    <x v="3"/>
    <x v="0"/>
    <x v="1"/>
  </r>
  <r>
    <x v="621"/>
    <x v="0"/>
    <x v="1"/>
    <n v="70000"/>
    <x v="5"/>
    <x v="0"/>
    <x v="4"/>
    <x v="0"/>
    <n v="1"/>
    <x v="3"/>
    <x v="2"/>
    <x v="7"/>
    <x v="1"/>
    <x v="0"/>
  </r>
  <r>
    <x v="622"/>
    <x v="0"/>
    <x v="1"/>
    <n v="60000"/>
    <x v="2"/>
    <x v="0"/>
    <x v="2"/>
    <x v="0"/>
    <n v="1"/>
    <x v="1"/>
    <x v="2"/>
    <x v="15"/>
    <x v="0"/>
    <x v="0"/>
  </r>
  <r>
    <x v="623"/>
    <x v="0"/>
    <x v="0"/>
    <n v="70000"/>
    <x v="5"/>
    <x v="1"/>
    <x v="2"/>
    <x v="0"/>
    <n v="1"/>
    <x v="3"/>
    <x v="2"/>
    <x v="10"/>
    <x v="0"/>
    <x v="0"/>
  </r>
  <r>
    <x v="624"/>
    <x v="1"/>
    <x v="0"/>
    <n v="70000"/>
    <x v="3"/>
    <x v="1"/>
    <x v="0"/>
    <x v="1"/>
    <n v="2"/>
    <x v="0"/>
    <x v="2"/>
    <x v="40"/>
    <x v="2"/>
    <x v="1"/>
  </r>
  <r>
    <x v="625"/>
    <x v="0"/>
    <x v="1"/>
    <n v="60000"/>
    <x v="1"/>
    <x v="4"/>
    <x v="4"/>
    <x v="0"/>
    <n v="2"/>
    <x v="3"/>
    <x v="2"/>
    <x v="41"/>
    <x v="1"/>
    <x v="0"/>
  </r>
  <r>
    <x v="626"/>
    <x v="0"/>
    <x v="0"/>
    <n v="60000"/>
    <x v="3"/>
    <x v="1"/>
    <x v="0"/>
    <x v="0"/>
    <n v="2"/>
    <x v="2"/>
    <x v="2"/>
    <x v="19"/>
    <x v="2"/>
    <x v="0"/>
  </r>
  <r>
    <x v="627"/>
    <x v="0"/>
    <x v="0"/>
    <n v="60000"/>
    <x v="1"/>
    <x v="4"/>
    <x v="4"/>
    <x v="0"/>
    <n v="2"/>
    <x v="3"/>
    <x v="2"/>
    <x v="41"/>
    <x v="1"/>
    <x v="0"/>
  </r>
  <r>
    <x v="628"/>
    <x v="1"/>
    <x v="1"/>
    <n v="80000"/>
    <x v="1"/>
    <x v="1"/>
    <x v="2"/>
    <x v="1"/>
    <n v="1"/>
    <x v="3"/>
    <x v="2"/>
    <x v="36"/>
    <x v="0"/>
    <x v="1"/>
  </r>
  <r>
    <x v="629"/>
    <x v="0"/>
    <x v="0"/>
    <n v="50000"/>
    <x v="0"/>
    <x v="4"/>
    <x v="0"/>
    <x v="0"/>
    <n v="0"/>
    <x v="0"/>
    <x v="2"/>
    <x v="11"/>
    <x v="0"/>
    <x v="0"/>
  </r>
  <r>
    <x v="630"/>
    <x v="0"/>
    <x v="1"/>
    <n v="40000"/>
    <x v="3"/>
    <x v="2"/>
    <x v="0"/>
    <x v="1"/>
    <n v="2"/>
    <x v="3"/>
    <x v="2"/>
    <x v="25"/>
    <x v="2"/>
    <x v="0"/>
  </r>
  <r>
    <x v="631"/>
    <x v="1"/>
    <x v="1"/>
    <n v="70000"/>
    <x v="2"/>
    <x v="1"/>
    <x v="2"/>
    <x v="0"/>
    <n v="3"/>
    <x v="1"/>
    <x v="2"/>
    <x v="20"/>
    <x v="0"/>
    <x v="0"/>
  </r>
  <r>
    <x v="632"/>
    <x v="1"/>
    <x v="0"/>
    <n v="80000"/>
    <x v="5"/>
    <x v="4"/>
    <x v="0"/>
    <x v="0"/>
    <n v="0"/>
    <x v="3"/>
    <x v="2"/>
    <x v="28"/>
    <x v="0"/>
    <x v="0"/>
  </r>
  <r>
    <x v="633"/>
    <x v="0"/>
    <x v="0"/>
    <n v="130000"/>
    <x v="0"/>
    <x v="0"/>
    <x v="4"/>
    <x v="0"/>
    <n v="2"/>
    <x v="0"/>
    <x v="2"/>
    <x v="12"/>
    <x v="0"/>
    <x v="1"/>
  </r>
  <r>
    <x v="634"/>
    <x v="0"/>
    <x v="1"/>
    <n v="60000"/>
    <x v="1"/>
    <x v="0"/>
    <x v="4"/>
    <x v="1"/>
    <n v="2"/>
    <x v="3"/>
    <x v="2"/>
    <x v="29"/>
    <x v="1"/>
    <x v="0"/>
  </r>
  <r>
    <x v="635"/>
    <x v="1"/>
    <x v="0"/>
    <n v="30000"/>
    <x v="4"/>
    <x v="2"/>
    <x v="0"/>
    <x v="1"/>
    <n v="2"/>
    <x v="0"/>
    <x v="2"/>
    <x v="38"/>
    <x v="0"/>
    <x v="0"/>
  </r>
  <r>
    <x v="636"/>
    <x v="1"/>
    <x v="0"/>
    <n v="120000"/>
    <x v="5"/>
    <x v="1"/>
    <x v="2"/>
    <x v="0"/>
    <n v="3"/>
    <x v="2"/>
    <x v="2"/>
    <x v="1"/>
    <x v="0"/>
    <x v="1"/>
  </r>
  <r>
    <x v="637"/>
    <x v="1"/>
    <x v="1"/>
    <n v="40000"/>
    <x v="3"/>
    <x v="2"/>
    <x v="0"/>
    <x v="1"/>
    <n v="2"/>
    <x v="3"/>
    <x v="2"/>
    <x v="25"/>
    <x v="2"/>
    <x v="0"/>
  </r>
  <r>
    <x v="638"/>
    <x v="1"/>
    <x v="1"/>
    <n v="70000"/>
    <x v="3"/>
    <x v="4"/>
    <x v="4"/>
    <x v="0"/>
    <n v="2"/>
    <x v="2"/>
    <x v="2"/>
    <x v="50"/>
    <x v="1"/>
    <x v="1"/>
  </r>
  <r>
    <x v="639"/>
    <x v="0"/>
    <x v="1"/>
    <n v="100000"/>
    <x v="4"/>
    <x v="4"/>
    <x v="4"/>
    <x v="0"/>
    <n v="3"/>
    <x v="3"/>
    <x v="2"/>
    <x v="27"/>
    <x v="1"/>
    <x v="0"/>
  </r>
  <r>
    <x v="640"/>
    <x v="0"/>
    <x v="0"/>
    <n v="60000"/>
    <x v="4"/>
    <x v="1"/>
    <x v="2"/>
    <x v="0"/>
    <n v="2"/>
    <x v="1"/>
    <x v="2"/>
    <x v="16"/>
    <x v="1"/>
    <x v="1"/>
  </r>
  <r>
    <x v="641"/>
    <x v="0"/>
    <x v="1"/>
    <n v="50000"/>
    <x v="5"/>
    <x v="0"/>
    <x v="4"/>
    <x v="0"/>
    <n v="2"/>
    <x v="4"/>
    <x v="2"/>
    <x v="46"/>
    <x v="1"/>
    <x v="0"/>
  </r>
  <r>
    <x v="642"/>
    <x v="0"/>
    <x v="0"/>
    <n v="70000"/>
    <x v="1"/>
    <x v="1"/>
    <x v="2"/>
    <x v="0"/>
    <n v="2"/>
    <x v="2"/>
    <x v="2"/>
    <x v="5"/>
    <x v="0"/>
    <x v="1"/>
  </r>
  <r>
    <x v="643"/>
    <x v="0"/>
    <x v="0"/>
    <n v="70000"/>
    <x v="1"/>
    <x v="4"/>
    <x v="2"/>
    <x v="0"/>
    <n v="0"/>
    <x v="1"/>
    <x v="2"/>
    <x v="11"/>
    <x v="0"/>
    <x v="1"/>
  </r>
  <r>
    <x v="644"/>
    <x v="0"/>
    <x v="0"/>
    <n v="60000"/>
    <x v="2"/>
    <x v="0"/>
    <x v="0"/>
    <x v="0"/>
    <n v="3"/>
    <x v="4"/>
    <x v="2"/>
    <x v="3"/>
    <x v="0"/>
    <x v="0"/>
  </r>
  <r>
    <x v="645"/>
    <x v="1"/>
    <x v="0"/>
    <n v="60000"/>
    <x v="3"/>
    <x v="4"/>
    <x v="0"/>
    <x v="0"/>
    <n v="0"/>
    <x v="0"/>
    <x v="2"/>
    <x v="32"/>
    <x v="0"/>
    <x v="0"/>
  </r>
  <r>
    <x v="646"/>
    <x v="1"/>
    <x v="0"/>
    <n v="60000"/>
    <x v="5"/>
    <x v="4"/>
    <x v="0"/>
    <x v="1"/>
    <n v="0"/>
    <x v="3"/>
    <x v="2"/>
    <x v="15"/>
    <x v="0"/>
    <x v="0"/>
  </r>
  <r>
    <x v="647"/>
    <x v="1"/>
    <x v="1"/>
    <n v="40000"/>
    <x v="3"/>
    <x v="2"/>
    <x v="0"/>
    <x v="0"/>
    <n v="2"/>
    <x v="2"/>
    <x v="2"/>
    <x v="23"/>
    <x v="0"/>
    <x v="0"/>
  </r>
  <r>
    <x v="648"/>
    <x v="1"/>
    <x v="0"/>
    <n v="70000"/>
    <x v="4"/>
    <x v="0"/>
    <x v="4"/>
    <x v="1"/>
    <n v="1"/>
    <x v="1"/>
    <x v="2"/>
    <x v="7"/>
    <x v="1"/>
    <x v="1"/>
  </r>
  <r>
    <x v="649"/>
    <x v="1"/>
    <x v="0"/>
    <n v="70000"/>
    <x v="3"/>
    <x v="0"/>
    <x v="2"/>
    <x v="1"/>
    <n v="1"/>
    <x v="1"/>
    <x v="2"/>
    <x v="13"/>
    <x v="0"/>
    <x v="1"/>
  </r>
  <r>
    <x v="650"/>
    <x v="1"/>
    <x v="0"/>
    <n v="70000"/>
    <x v="2"/>
    <x v="4"/>
    <x v="4"/>
    <x v="0"/>
    <n v="2"/>
    <x v="4"/>
    <x v="2"/>
    <x v="41"/>
    <x v="1"/>
    <x v="1"/>
  </r>
  <r>
    <x v="651"/>
    <x v="1"/>
    <x v="1"/>
    <n v="60000"/>
    <x v="3"/>
    <x v="1"/>
    <x v="2"/>
    <x v="1"/>
    <n v="2"/>
    <x v="3"/>
    <x v="2"/>
    <x v="21"/>
    <x v="0"/>
    <x v="1"/>
  </r>
  <r>
    <x v="652"/>
    <x v="0"/>
    <x v="1"/>
    <n v="70000"/>
    <x v="2"/>
    <x v="1"/>
    <x v="2"/>
    <x v="1"/>
    <n v="3"/>
    <x v="2"/>
    <x v="2"/>
    <x v="12"/>
    <x v="0"/>
    <x v="0"/>
  </r>
  <r>
    <x v="653"/>
    <x v="1"/>
    <x v="1"/>
    <n v="30000"/>
    <x v="3"/>
    <x v="2"/>
    <x v="0"/>
    <x v="1"/>
    <n v="2"/>
    <x v="3"/>
    <x v="2"/>
    <x v="23"/>
    <x v="0"/>
    <x v="1"/>
  </r>
  <r>
    <x v="654"/>
    <x v="1"/>
    <x v="1"/>
    <n v="40000"/>
    <x v="3"/>
    <x v="2"/>
    <x v="0"/>
    <x v="1"/>
    <n v="2"/>
    <x v="3"/>
    <x v="2"/>
    <x v="23"/>
    <x v="0"/>
    <x v="1"/>
  </r>
  <r>
    <x v="655"/>
    <x v="0"/>
    <x v="0"/>
    <n v="40000"/>
    <x v="1"/>
    <x v="1"/>
    <x v="1"/>
    <x v="0"/>
    <n v="1"/>
    <x v="0"/>
    <x v="2"/>
    <x v="23"/>
    <x v="0"/>
    <x v="0"/>
  </r>
  <r>
    <x v="656"/>
    <x v="0"/>
    <x v="1"/>
    <n v="60000"/>
    <x v="4"/>
    <x v="2"/>
    <x v="2"/>
    <x v="1"/>
    <n v="2"/>
    <x v="2"/>
    <x v="2"/>
    <x v="5"/>
    <x v="0"/>
    <x v="0"/>
  </r>
  <r>
    <x v="657"/>
    <x v="0"/>
    <x v="1"/>
    <n v="70000"/>
    <x v="0"/>
    <x v="1"/>
    <x v="0"/>
    <x v="0"/>
    <n v="1"/>
    <x v="0"/>
    <x v="2"/>
    <x v="20"/>
    <x v="0"/>
    <x v="0"/>
  </r>
  <r>
    <x v="658"/>
    <x v="1"/>
    <x v="1"/>
    <n v="50000"/>
    <x v="4"/>
    <x v="0"/>
    <x v="0"/>
    <x v="0"/>
    <n v="1"/>
    <x v="1"/>
    <x v="2"/>
    <x v="13"/>
    <x v="0"/>
    <x v="1"/>
  </r>
  <r>
    <x v="659"/>
    <x v="1"/>
    <x v="0"/>
    <n v="60000"/>
    <x v="5"/>
    <x v="0"/>
    <x v="4"/>
    <x v="0"/>
    <n v="2"/>
    <x v="4"/>
    <x v="2"/>
    <x v="18"/>
    <x v="1"/>
    <x v="0"/>
  </r>
  <r>
    <x v="660"/>
    <x v="0"/>
    <x v="0"/>
    <n v="60000"/>
    <x v="0"/>
    <x v="4"/>
    <x v="2"/>
    <x v="0"/>
    <n v="0"/>
    <x v="1"/>
    <x v="2"/>
    <x v="4"/>
    <x v="0"/>
    <x v="1"/>
  </r>
  <r>
    <x v="661"/>
    <x v="1"/>
    <x v="1"/>
    <n v="40000"/>
    <x v="3"/>
    <x v="2"/>
    <x v="0"/>
    <x v="1"/>
    <n v="2"/>
    <x v="0"/>
    <x v="2"/>
    <x v="26"/>
    <x v="2"/>
    <x v="1"/>
  </r>
  <r>
    <x v="662"/>
    <x v="1"/>
    <x v="0"/>
    <n v="100000"/>
    <x v="0"/>
    <x v="1"/>
    <x v="2"/>
    <x v="1"/>
    <n v="3"/>
    <x v="3"/>
    <x v="2"/>
    <x v="20"/>
    <x v="0"/>
    <x v="0"/>
  </r>
  <r>
    <x v="663"/>
    <x v="0"/>
    <x v="0"/>
    <n v="70000"/>
    <x v="2"/>
    <x v="4"/>
    <x v="2"/>
    <x v="0"/>
    <n v="1"/>
    <x v="0"/>
    <x v="2"/>
    <x v="15"/>
    <x v="0"/>
    <x v="0"/>
  </r>
  <r>
    <x v="664"/>
    <x v="0"/>
    <x v="0"/>
    <n v="80000"/>
    <x v="3"/>
    <x v="4"/>
    <x v="0"/>
    <x v="0"/>
    <n v="0"/>
    <x v="3"/>
    <x v="2"/>
    <x v="8"/>
    <x v="0"/>
    <x v="1"/>
  </r>
  <r>
    <x v="665"/>
    <x v="0"/>
    <x v="1"/>
    <n v="130000"/>
    <x v="0"/>
    <x v="4"/>
    <x v="4"/>
    <x v="0"/>
    <n v="4"/>
    <x v="0"/>
    <x v="2"/>
    <x v="8"/>
    <x v="0"/>
    <x v="0"/>
  </r>
  <r>
    <x v="666"/>
    <x v="0"/>
    <x v="0"/>
    <n v="60000"/>
    <x v="0"/>
    <x v="1"/>
    <x v="0"/>
    <x v="0"/>
    <n v="1"/>
    <x v="1"/>
    <x v="2"/>
    <x v="30"/>
    <x v="0"/>
    <x v="1"/>
  </r>
  <r>
    <x v="667"/>
    <x v="0"/>
    <x v="0"/>
    <n v="40000"/>
    <x v="2"/>
    <x v="2"/>
    <x v="2"/>
    <x v="1"/>
    <n v="2"/>
    <x v="4"/>
    <x v="2"/>
    <x v="33"/>
    <x v="1"/>
    <x v="0"/>
  </r>
  <r>
    <x v="668"/>
    <x v="0"/>
    <x v="0"/>
    <n v="60000"/>
    <x v="3"/>
    <x v="4"/>
    <x v="2"/>
    <x v="0"/>
    <n v="0"/>
    <x v="0"/>
    <x v="2"/>
    <x v="8"/>
    <x v="0"/>
    <x v="0"/>
  </r>
  <r>
    <x v="669"/>
    <x v="0"/>
    <x v="0"/>
    <n v="60000"/>
    <x v="4"/>
    <x v="2"/>
    <x v="2"/>
    <x v="0"/>
    <n v="2"/>
    <x v="2"/>
    <x v="2"/>
    <x v="5"/>
    <x v="0"/>
    <x v="0"/>
  </r>
  <r>
    <x v="670"/>
    <x v="0"/>
    <x v="1"/>
    <n v="70000"/>
    <x v="4"/>
    <x v="1"/>
    <x v="2"/>
    <x v="0"/>
    <n v="1"/>
    <x v="4"/>
    <x v="2"/>
    <x v="14"/>
    <x v="1"/>
    <x v="0"/>
  </r>
  <r>
    <x v="671"/>
    <x v="1"/>
    <x v="0"/>
    <n v="60000"/>
    <x v="0"/>
    <x v="4"/>
    <x v="2"/>
    <x v="0"/>
    <n v="0"/>
    <x v="1"/>
    <x v="2"/>
    <x v="4"/>
    <x v="0"/>
    <x v="1"/>
  </r>
  <r>
    <x v="672"/>
    <x v="1"/>
    <x v="0"/>
    <n v="40000"/>
    <x v="3"/>
    <x v="2"/>
    <x v="0"/>
    <x v="0"/>
    <n v="2"/>
    <x v="2"/>
    <x v="2"/>
    <x v="25"/>
    <x v="2"/>
    <x v="0"/>
  </r>
  <r>
    <x v="673"/>
    <x v="1"/>
    <x v="0"/>
    <n v="70000"/>
    <x v="5"/>
    <x v="4"/>
    <x v="2"/>
    <x v="0"/>
    <n v="0"/>
    <x v="1"/>
    <x v="2"/>
    <x v="11"/>
    <x v="0"/>
    <x v="1"/>
  </r>
  <r>
    <x v="674"/>
    <x v="0"/>
    <x v="0"/>
    <n v="30000"/>
    <x v="4"/>
    <x v="2"/>
    <x v="0"/>
    <x v="0"/>
    <n v="2"/>
    <x v="3"/>
    <x v="2"/>
    <x v="28"/>
    <x v="0"/>
    <x v="0"/>
  </r>
  <r>
    <x v="675"/>
    <x v="0"/>
    <x v="1"/>
    <n v="100000"/>
    <x v="1"/>
    <x v="0"/>
    <x v="4"/>
    <x v="0"/>
    <n v="4"/>
    <x v="0"/>
    <x v="2"/>
    <x v="3"/>
    <x v="0"/>
    <x v="0"/>
  </r>
  <r>
    <x v="676"/>
    <x v="0"/>
    <x v="1"/>
    <n v="40000"/>
    <x v="4"/>
    <x v="1"/>
    <x v="1"/>
    <x v="0"/>
    <n v="1"/>
    <x v="0"/>
    <x v="2"/>
    <x v="15"/>
    <x v="0"/>
    <x v="0"/>
  </r>
  <r>
    <x v="677"/>
    <x v="0"/>
    <x v="1"/>
    <n v="60000"/>
    <x v="5"/>
    <x v="4"/>
    <x v="0"/>
    <x v="1"/>
    <n v="0"/>
    <x v="0"/>
    <x v="2"/>
    <x v="15"/>
    <x v="0"/>
    <x v="0"/>
  </r>
  <r>
    <x v="678"/>
    <x v="0"/>
    <x v="1"/>
    <n v="80000"/>
    <x v="2"/>
    <x v="0"/>
    <x v="4"/>
    <x v="1"/>
    <n v="2"/>
    <x v="1"/>
    <x v="0"/>
    <x v="24"/>
    <x v="1"/>
    <x v="0"/>
  </r>
  <r>
    <x v="679"/>
    <x v="0"/>
    <x v="1"/>
    <n v="60000"/>
    <x v="5"/>
    <x v="0"/>
    <x v="4"/>
    <x v="0"/>
    <n v="2"/>
    <x v="4"/>
    <x v="2"/>
    <x v="2"/>
    <x v="1"/>
    <x v="0"/>
  </r>
  <r>
    <x v="680"/>
    <x v="0"/>
    <x v="0"/>
    <n v="60000"/>
    <x v="3"/>
    <x v="1"/>
    <x v="0"/>
    <x v="1"/>
    <n v="1"/>
    <x v="3"/>
    <x v="2"/>
    <x v="6"/>
    <x v="0"/>
    <x v="0"/>
  </r>
  <r>
    <x v="681"/>
    <x v="1"/>
    <x v="0"/>
    <n v="80000"/>
    <x v="5"/>
    <x v="4"/>
    <x v="0"/>
    <x v="1"/>
    <n v="0"/>
    <x v="0"/>
    <x v="2"/>
    <x v="15"/>
    <x v="0"/>
    <x v="0"/>
  </r>
  <r>
    <x v="682"/>
    <x v="0"/>
    <x v="1"/>
    <n v="20000"/>
    <x v="1"/>
    <x v="3"/>
    <x v="1"/>
    <x v="1"/>
    <n v="2"/>
    <x v="0"/>
    <x v="2"/>
    <x v="31"/>
    <x v="0"/>
    <x v="0"/>
  </r>
  <r>
    <x v="683"/>
    <x v="0"/>
    <x v="0"/>
    <n v="90000"/>
    <x v="2"/>
    <x v="1"/>
    <x v="2"/>
    <x v="0"/>
    <n v="3"/>
    <x v="1"/>
    <x v="2"/>
    <x v="8"/>
    <x v="0"/>
    <x v="0"/>
  </r>
  <r>
    <x v="684"/>
    <x v="1"/>
    <x v="0"/>
    <n v="60000"/>
    <x v="5"/>
    <x v="0"/>
    <x v="0"/>
    <x v="1"/>
    <n v="2"/>
    <x v="0"/>
    <x v="2"/>
    <x v="0"/>
    <x v="0"/>
    <x v="0"/>
  </r>
  <r>
    <x v="685"/>
    <x v="1"/>
    <x v="0"/>
    <n v="60000"/>
    <x v="1"/>
    <x v="4"/>
    <x v="4"/>
    <x v="0"/>
    <n v="2"/>
    <x v="2"/>
    <x v="2"/>
    <x v="39"/>
    <x v="0"/>
    <x v="1"/>
  </r>
  <r>
    <x v="686"/>
    <x v="0"/>
    <x v="0"/>
    <n v="40000"/>
    <x v="0"/>
    <x v="1"/>
    <x v="1"/>
    <x v="0"/>
    <n v="1"/>
    <x v="3"/>
    <x v="2"/>
    <x v="36"/>
    <x v="0"/>
    <x v="1"/>
  </r>
  <r>
    <x v="687"/>
    <x v="1"/>
    <x v="1"/>
    <n v="30000"/>
    <x v="3"/>
    <x v="1"/>
    <x v="0"/>
    <x v="0"/>
    <n v="2"/>
    <x v="2"/>
    <x v="2"/>
    <x v="25"/>
    <x v="2"/>
    <x v="0"/>
  </r>
  <r>
    <x v="688"/>
    <x v="1"/>
    <x v="1"/>
    <n v="60000"/>
    <x v="3"/>
    <x v="0"/>
    <x v="0"/>
    <x v="1"/>
    <n v="2"/>
    <x v="0"/>
    <x v="2"/>
    <x v="25"/>
    <x v="2"/>
    <x v="0"/>
  </r>
  <r>
    <x v="689"/>
    <x v="0"/>
    <x v="1"/>
    <n v="30000"/>
    <x v="3"/>
    <x v="2"/>
    <x v="0"/>
    <x v="0"/>
    <n v="2"/>
    <x v="2"/>
    <x v="2"/>
    <x v="22"/>
    <x v="2"/>
    <x v="0"/>
  </r>
  <r>
    <x v="690"/>
    <x v="1"/>
    <x v="0"/>
    <n v="130000"/>
    <x v="0"/>
    <x v="0"/>
    <x v="4"/>
    <x v="1"/>
    <n v="1"/>
    <x v="1"/>
    <x v="2"/>
    <x v="12"/>
    <x v="0"/>
    <x v="0"/>
  </r>
  <r>
    <x v="691"/>
    <x v="0"/>
    <x v="1"/>
    <n v="50000"/>
    <x v="0"/>
    <x v="0"/>
    <x v="0"/>
    <x v="0"/>
    <n v="0"/>
    <x v="0"/>
    <x v="2"/>
    <x v="17"/>
    <x v="0"/>
    <x v="1"/>
  </r>
  <r>
    <x v="692"/>
    <x v="0"/>
    <x v="1"/>
    <n v="70000"/>
    <x v="0"/>
    <x v="0"/>
    <x v="2"/>
    <x v="0"/>
    <n v="1"/>
    <x v="1"/>
    <x v="2"/>
    <x v="20"/>
    <x v="0"/>
    <x v="1"/>
  </r>
  <r>
    <x v="693"/>
    <x v="1"/>
    <x v="0"/>
    <n v="60000"/>
    <x v="5"/>
    <x v="0"/>
    <x v="0"/>
    <x v="1"/>
    <n v="2"/>
    <x v="0"/>
    <x v="2"/>
    <x v="3"/>
    <x v="0"/>
    <x v="1"/>
  </r>
  <r>
    <x v="694"/>
    <x v="1"/>
    <x v="0"/>
    <n v="80000"/>
    <x v="1"/>
    <x v="4"/>
    <x v="2"/>
    <x v="1"/>
    <n v="0"/>
    <x v="0"/>
    <x v="2"/>
    <x v="4"/>
    <x v="0"/>
    <x v="1"/>
  </r>
  <r>
    <x v="695"/>
    <x v="0"/>
    <x v="1"/>
    <n v="80000"/>
    <x v="2"/>
    <x v="1"/>
    <x v="2"/>
    <x v="0"/>
    <n v="2"/>
    <x v="0"/>
    <x v="2"/>
    <x v="20"/>
    <x v="0"/>
    <x v="0"/>
  </r>
  <r>
    <x v="696"/>
    <x v="1"/>
    <x v="1"/>
    <n v="60000"/>
    <x v="3"/>
    <x v="1"/>
    <x v="2"/>
    <x v="1"/>
    <n v="2"/>
    <x v="3"/>
    <x v="2"/>
    <x v="25"/>
    <x v="2"/>
    <x v="0"/>
  </r>
  <r>
    <x v="697"/>
    <x v="0"/>
    <x v="0"/>
    <n v="30000"/>
    <x v="3"/>
    <x v="3"/>
    <x v="1"/>
    <x v="1"/>
    <n v="2"/>
    <x v="0"/>
    <x v="2"/>
    <x v="26"/>
    <x v="2"/>
    <x v="0"/>
  </r>
  <r>
    <x v="698"/>
    <x v="0"/>
    <x v="1"/>
    <n v="20000"/>
    <x v="4"/>
    <x v="3"/>
    <x v="1"/>
    <x v="0"/>
    <n v="2"/>
    <x v="3"/>
    <x v="2"/>
    <x v="38"/>
    <x v="0"/>
    <x v="0"/>
  </r>
  <r>
    <x v="699"/>
    <x v="1"/>
    <x v="1"/>
    <n v="90000"/>
    <x v="3"/>
    <x v="1"/>
    <x v="2"/>
    <x v="1"/>
    <n v="2"/>
    <x v="0"/>
    <x v="2"/>
    <x v="1"/>
    <x v="0"/>
    <x v="1"/>
  </r>
  <r>
    <x v="700"/>
    <x v="0"/>
    <x v="0"/>
    <n v="70000"/>
    <x v="5"/>
    <x v="0"/>
    <x v="4"/>
    <x v="0"/>
    <n v="1"/>
    <x v="3"/>
    <x v="2"/>
    <x v="14"/>
    <x v="1"/>
    <x v="0"/>
  </r>
  <r>
    <x v="701"/>
    <x v="1"/>
    <x v="1"/>
    <n v="30000"/>
    <x v="3"/>
    <x v="2"/>
    <x v="0"/>
    <x v="0"/>
    <n v="2"/>
    <x v="2"/>
    <x v="2"/>
    <x v="22"/>
    <x v="2"/>
    <x v="0"/>
  </r>
  <r>
    <x v="702"/>
    <x v="0"/>
    <x v="1"/>
    <n v="120000"/>
    <x v="0"/>
    <x v="2"/>
    <x v="2"/>
    <x v="0"/>
    <n v="4"/>
    <x v="2"/>
    <x v="2"/>
    <x v="30"/>
    <x v="0"/>
    <x v="1"/>
  </r>
  <r>
    <x v="703"/>
    <x v="1"/>
    <x v="0"/>
    <n v="50000"/>
    <x v="3"/>
    <x v="4"/>
    <x v="0"/>
    <x v="0"/>
    <n v="0"/>
    <x v="3"/>
    <x v="2"/>
    <x v="6"/>
    <x v="0"/>
    <x v="0"/>
  </r>
  <r>
    <x v="704"/>
    <x v="1"/>
    <x v="0"/>
    <n v="40000"/>
    <x v="3"/>
    <x v="0"/>
    <x v="2"/>
    <x v="0"/>
    <n v="1"/>
    <x v="1"/>
    <x v="2"/>
    <x v="0"/>
    <x v="0"/>
    <x v="1"/>
  </r>
  <r>
    <x v="705"/>
    <x v="0"/>
    <x v="0"/>
    <n v="70000"/>
    <x v="5"/>
    <x v="0"/>
    <x v="4"/>
    <x v="0"/>
    <n v="1"/>
    <x v="4"/>
    <x v="2"/>
    <x v="14"/>
    <x v="1"/>
    <x v="0"/>
  </r>
  <r>
    <x v="706"/>
    <x v="1"/>
    <x v="0"/>
    <n v="60000"/>
    <x v="3"/>
    <x v="1"/>
    <x v="0"/>
    <x v="1"/>
    <n v="1"/>
    <x v="3"/>
    <x v="2"/>
    <x v="6"/>
    <x v="0"/>
    <x v="1"/>
  </r>
  <r>
    <x v="707"/>
    <x v="0"/>
    <x v="0"/>
    <n v="70000"/>
    <x v="0"/>
    <x v="1"/>
    <x v="0"/>
    <x v="0"/>
    <n v="1"/>
    <x v="0"/>
    <x v="2"/>
    <x v="20"/>
    <x v="0"/>
    <x v="1"/>
  </r>
  <r>
    <x v="708"/>
    <x v="0"/>
    <x v="1"/>
    <n v="70000"/>
    <x v="2"/>
    <x v="0"/>
    <x v="4"/>
    <x v="0"/>
    <n v="4"/>
    <x v="4"/>
    <x v="2"/>
    <x v="2"/>
    <x v="1"/>
    <x v="0"/>
  </r>
  <r>
    <x v="709"/>
    <x v="1"/>
    <x v="0"/>
    <n v="70000"/>
    <x v="4"/>
    <x v="0"/>
    <x v="4"/>
    <x v="0"/>
    <n v="1"/>
    <x v="4"/>
    <x v="2"/>
    <x v="14"/>
    <x v="1"/>
    <x v="0"/>
  </r>
  <r>
    <x v="710"/>
    <x v="0"/>
    <x v="1"/>
    <n v="60000"/>
    <x v="3"/>
    <x v="2"/>
    <x v="2"/>
    <x v="0"/>
    <n v="2"/>
    <x v="2"/>
    <x v="2"/>
    <x v="21"/>
    <x v="0"/>
    <x v="1"/>
  </r>
  <r>
    <x v="711"/>
    <x v="0"/>
    <x v="0"/>
    <n v="70000"/>
    <x v="4"/>
    <x v="1"/>
    <x v="2"/>
    <x v="0"/>
    <n v="1"/>
    <x v="4"/>
    <x v="2"/>
    <x v="7"/>
    <x v="1"/>
    <x v="0"/>
  </r>
  <r>
    <x v="712"/>
    <x v="0"/>
    <x v="0"/>
    <n v="40000"/>
    <x v="4"/>
    <x v="2"/>
    <x v="2"/>
    <x v="1"/>
    <n v="2"/>
    <x v="1"/>
    <x v="2"/>
    <x v="14"/>
    <x v="1"/>
    <x v="0"/>
  </r>
  <r>
    <x v="713"/>
    <x v="1"/>
    <x v="0"/>
    <n v="70000"/>
    <x v="4"/>
    <x v="0"/>
    <x v="0"/>
    <x v="0"/>
    <n v="1"/>
    <x v="1"/>
    <x v="2"/>
    <x v="13"/>
    <x v="0"/>
    <x v="0"/>
  </r>
  <r>
    <x v="714"/>
    <x v="0"/>
    <x v="1"/>
    <n v="40000"/>
    <x v="3"/>
    <x v="2"/>
    <x v="0"/>
    <x v="0"/>
    <n v="2"/>
    <x v="2"/>
    <x v="2"/>
    <x v="26"/>
    <x v="2"/>
    <x v="1"/>
  </r>
  <r>
    <x v="715"/>
    <x v="0"/>
    <x v="0"/>
    <n v="60000"/>
    <x v="0"/>
    <x v="4"/>
    <x v="2"/>
    <x v="0"/>
    <n v="0"/>
    <x v="1"/>
    <x v="2"/>
    <x v="34"/>
    <x v="0"/>
    <x v="1"/>
  </r>
  <r>
    <x v="716"/>
    <x v="1"/>
    <x v="0"/>
    <n v="80000"/>
    <x v="3"/>
    <x v="4"/>
    <x v="0"/>
    <x v="1"/>
    <n v="0"/>
    <x v="0"/>
    <x v="2"/>
    <x v="8"/>
    <x v="0"/>
    <x v="0"/>
  </r>
  <r>
    <x v="717"/>
    <x v="1"/>
    <x v="1"/>
    <n v="90000"/>
    <x v="5"/>
    <x v="0"/>
    <x v="4"/>
    <x v="0"/>
    <n v="1"/>
    <x v="3"/>
    <x v="2"/>
    <x v="13"/>
    <x v="0"/>
    <x v="1"/>
  </r>
  <r>
    <x v="718"/>
    <x v="0"/>
    <x v="1"/>
    <n v="70000"/>
    <x v="5"/>
    <x v="4"/>
    <x v="2"/>
    <x v="0"/>
    <n v="0"/>
    <x v="1"/>
    <x v="2"/>
    <x v="4"/>
    <x v="0"/>
    <x v="1"/>
  </r>
  <r>
    <x v="719"/>
    <x v="0"/>
    <x v="0"/>
    <n v="70000"/>
    <x v="2"/>
    <x v="4"/>
    <x v="2"/>
    <x v="0"/>
    <n v="2"/>
    <x v="0"/>
    <x v="2"/>
    <x v="34"/>
    <x v="0"/>
    <x v="0"/>
  </r>
  <r>
    <x v="720"/>
    <x v="1"/>
    <x v="0"/>
    <n v="40000"/>
    <x v="2"/>
    <x v="2"/>
    <x v="2"/>
    <x v="1"/>
    <n v="3"/>
    <x v="1"/>
    <x v="2"/>
    <x v="2"/>
    <x v="1"/>
    <x v="1"/>
  </r>
  <r>
    <x v="721"/>
    <x v="1"/>
    <x v="1"/>
    <n v="110000"/>
    <x v="5"/>
    <x v="0"/>
    <x v="4"/>
    <x v="0"/>
    <n v="4"/>
    <x v="2"/>
    <x v="2"/>
    <x v="0"/>
    <x v="0"/>
    <x v="1"/>
  </r>
  <r>
    <x v="722"/>
    <x v="1"/>
    <x v="0"/>
    <n v="70000"/>
    <x v="1"/>
    <x v="4"/>
    <x v="4"/>
    <x v="1"/>
    <n v="2"/>
    <x v="3"/>
    <x v="2"/>
    <x v="39"/>
    <x v="0"/>
    <x v="0"/>
  </r>
  <r>
    <x v="723"/>
    <x v="1"/>
    <x v="0"/>
    <n v="80000"/>
    <x v="4"/>
    <x v="3"/>
    <x v="0"/>
    <x v="0"/>
    <n v="2"/>
    <x v="2"/>
    <x v="2"/>
    <x v="38"/>
    <x v="0"/>
    <x v="0"/>
  </r>
  <r>
    <x v="724"/>
    <x v="0"/>
    <x v="1"/>
    <n v="30000"/>
    <x v="4"/>
    <x v="2"/>
    <x v="0"/>
    <x v="0"/>
    <n v="2"/>
    <x v="3"/>
    <x v="2"/>
    <x v="38"/>
    <x v="0"/>
    <x v="0"/>
  </r>
  <r>
    <x v="725"/>
    <x v="0"/>
    <x v="1"/>
    <n v="130000"/>
    <x v="4"/>
    <x v="4"/>
    <x v="4"/>
    <x v="0"/>
    <n v="3"/>
    <x v="0"/>
    <x v="2"/>
    <x v="0"/>
    <x v="0"/>
    <x v="1"/>
  </r>
  <r>
    <x v="726"/>
    <x v="0"/>
    <x v="1"/>
    <n v="20000"/>
    <x v="4"/>
    <x v="2"/>
    <x v="3"/>
    <x v="1"/>
    <n v="2"/>
    <x v="0"/>
    <x v="2"/>
    <x v="39"/>
    <x v="0"/>
    <x v="0"/>
  </r>
  <r>
    <x v="727"/>
    <x v="0"/>
    <x v="1"/>
    <n v="70000"/>
    <x v="0"/>
    <x v="4"/>
    <x v="2"/>
    <x v="0"/>
    <n v="1"/>
    <x v="0"/>
    <x v="2"/>
    <x v="30"/>
    <x v="0"/>
    <x v="1"/>
  </r>
  <r>
    <x v="728"/>
    <x v="0"/>
    <x v="1"/>
    <n v="40000"/>
    <x v="3"/>
    <x v="2"/>
    <x v="0"/>
    <x v="0"/>
    <n v="2"/>
    <x v="2"/>
    <x v="2"/>
    <x v="40"/>
    <x v="2"/>
    <x v="0"/>
  </r>
  <r>
    <x v="729"/>
    <x v="0"/>
    <x v="0"/>
    <n v="60000"/>
    <x v="1"/>
    <x v="0"/>
    <x v="2"/>
    <x v="0"/>
    <n v="1"/>
    <x v="0"/>
    <x v="2"/>
    <x v="28"/>
    <x v="0"/>
    <x v="1"/>
  </r>
  <r>
    <x v="730"/>
    <x v="1"/>
    <x v="0"/>
    <n v="60000"/>
    <x v="5"/>
    <x v="0"/>
    <x v="0"/>
    <x v="0"/>
    <n v="2"/>
    <x v="1"/>
    <x v="2"/>
    <x v="3"/>
    <x v="0"/>
    <x v="1"/>
  </r>
  <r>
    <x v="731"/>
    <x v="0"/>
    <x v="1"/>
    <n v="60000"/>
    <x v="4"/>
    <x v="2"/>
    <x v="2"/>
    <x v="1"/>
    <n v="2"/>
    <x v="3"/>
    <x v="2"/>
    <x v="38"/>
    <x v="0"/>
    <x v="1"/>
  </r>
  <r>
    <x v="732"/>
    <x v="1"/>
    <x v="0"/>
    <n v="60000"/>
    <x v="3"/>
    <x v="4"/>
    <x v="2"/>
    <x v="0"/>
    <n v="1"/>
    <x v="1"/>
    <x v="2"/>
    <x v="13"/>
    <x v="0"/>
    <x v="1"/>
  </r>
  <r>
    <x v="733"/>
    <x v="1"/>
    <x v="1"/>
    <n v="130000"/>
    <x v="0"/>
    <x v="0"/>
    <x v="4"/>
    <x v="1"/>
    <n v="4"/>
    <x v="0"/>
    <x v="2"/>
    <x v="20"/>
    <x v="0"/>
    <x v="0"/>
  </r>
  <r>
    <x v="734"/>
    <x v="1"/>
    <x v="0"/>
    <n v="130000"/>
    <x v="0"/>
    <x v="0"/>
    <x v="4"/>
    <x v="1"/>
    <n v="3"/>
    <x v="0"/>
    <x v="2"/>
    <x v="12"/>
    <x v="0"/>
    <x v="1"/>
  </r>
  <r>
    <x v="735"/>
    <x v="1"/>
    <x v="0"/>
    <n v="30000"/>
    <x v="3"/>
    <x v="1"/>
    <x v="0"/>
    <x v="0"/>
    <n v="1"/>
    <x v="2"/>
    <x v="2"/>
    <x v="22"/>
    <x v="2"/>
    <x v="0"/>
  </r>
  <r>
    <x v="736"/>
    <x v="0"/>
    <x v="1"/>
    <n v="40000"/>
    <x v="3"/>
    <x v="2"/>
    <x v="0"/>
    <x v="0"/>
    <n v="1"/>
    <x v="2"/>
    <x v="2"/>
    <x v="23"/>
    <x v="0"/>
    <x v="0"/>
  </r>
  <r>
    <x v="737"/>
    <x v="0"/>
    <x v="1"/>
    <n v="70000"/>
    <x v="4"/>
    <x v="3"/>
    <x v="0"/>
    <x v="1"/>
    <n v="2"/>
    <x v="3"/>
    <x v="2"/>
    <x v="38"/>
    <x v="0"/>
    <x v="0"/>
  </r>
  <r>
    <x v="738"/>
    <x v="1"/>
    <x v="0"/>
    <n v="40000"/>
    <x v="4"/>
    <x v="1"/>
    <x v="1"/>
    <x v="1"/>
    <n v="1"/>
    <x v="3"/>
    <x v="2"/>
    <x v="15"/>
    <x v="0"/>
    <x v="1"/>
  </r>
  <r>
    <x v="739"/>
    <x v="0"/>
    <x v="0"/>
    <n v="60000"/>
    <x v="4"/>
    <x v="1"/>
    <x v="2"/>
    <x v="0"/>
    <n v="1"/>
    <x v="4"/>
    <x v="2"/>
    <x v="10"/>
    <x v="0"/>
    <x v="0"/>
  </r>
  <r>
    <x v="740"/>
    <x v="0"/>
    <x v="1"/>
    <n v="40000"/>
    <x v="5"/>
    <x v="1"/>
    <x v="1"/>
    <x v="1"/>
    <n v="0"/>
    <x v="0"/>
    <x v="2"/>
    <x v="25"/>
    <x v="2"/>
    <x v="0"/>
  </r>
  <r>
    <x v="741"/>
    <x v="0"/>
    <x v="0"/>
    <n v="40000"/>
    <x v="0"/>
    <x v="1"/>
    <x v="1"/>
    <x v="0"/>
    <n v="1"/>
    <x v="3"/>
    <x v="2"/>
    <x v="28"/>
    <x v="0"/>
    <x v="1"/>
  </r>
  <r>
    <x v="742"/>
    <x v="1"/>
    <x v="1"/>
    <n v="30000"/>
    <x v="3"/>
    <x v="2"/>
    <x v="0"/>
    <x v="0"/>
    <n v="2"/>
    <x v="2"/>
    <x v="2"/>
    <x v="25"/>
    <x v="2"/>
    <x v="0"/>
  </r>
  <r>
    <x v="743"/>
    <x v="0"/>
    <x v="1"/>
    <n v="110000"/>
    <x v="0"/>
    <x v="0"/>
    <x v="4"/>
    <x v="0"/>
    <n v="3"/>
    <x v="2"/>
    <x v="2"/>
    <x v="12"/>
    <x v="0"/>
    <x v="0"/>
  </r>
  <r>
    <x v="744"/>
    <x v="0"/>
    <x v="0"/>
    <n v="70000"/>
    <x v="5"/>
    <x v="1"/>
    <x v="2"/>
    <x v="0"/>
    <n v="1"/>
    <x v="4"/>
    <x v="2"/>
    <x v="16"/>
    <x v="1"/>
    <x v="0"/>
  </r>
  <r>
    <x v="745"/>
    <x v="0"/>
    <x v="1"/>
    <n v="60000"/>
    <x v="5"/>
    <x v="4"/>
    <x v="0"/>
    <x v="0"/>
    <n v="0"/>
    <x v="3"/>
    <x v="2"/>
    <x v="15"/>
    <x v="0"/>
    <x v="1"/>
  </r>
  <r>
    <x v="746"/>
    <x v="0"/>
    <x v="0"/>
    <n v="60000"/>
    <x v="4"/>
    <x v="0"/>
    <x v="4"/>
    <x v="0"/>
    <n v="0"/>
    <x v="4"/>
    <x v="2"/>
    <x v="16"/>
    <x v="1"/>
    <x v="0"/>
  </r>
  <r>
    <x v="747"/>
    <x v="1"/>
    <x v="0"/>
    <n v="70000"/>
    <x v="0"/>
    <x v="0"/>
    <x v="2"/>
    <x v="1"/>
    <n v="1"/>
    <x v="0"/>
    <x v="2"/>
    <x v="20"/>
    <x v="0"/>
    <x v="0"/>
  </r>
  <r>
    <x v="748"/>
    <x v="0"/>
    <x v="1"/>
    <n v="130000"/>
    <x v="4"/>
    <x v="4"/>
    <x v="4"/>
    <x v="0"/>
    <n v="3"/>
    <x v="1"/>
    <x v="2"/>
    <x v="45"/>
    <x v="1"/>
    <x v="0"/>
  </r>
  <r>
    <x v="749"/>
    <x v="0"/>
    <x v="0"/>
    <n v="70000"/>
    <x v="4"/>
    <x v="1"/>
    <x v="2"/>
    <x v="0"/>
    <n v="1"/>
    <x v="1"/>
    <x v="2"/>
    <x v="14"/>
    <x v="1"/>
    <x v="0"/>
  </r>
  <r>
    <x v="750"/>
    <x v="0"/>
    <x v="1"/>
    <n v="30000"/>
    <x v="4"/>
    <x v="2"/>
    <x v="0"/>
    <x v="0"/>
    <n v="2"/>
    <x v="3"/>
    <x v="2"/>
    <x v="5"/>
    <x v="0"/>
    <x v="0"/>
  </r>
  <r>
    <x v="751"/>
    <x v="0"/>
    <x v="1"/>
    <n v="60000"/>
    <x v="0"/>
    <x v="4"/>
    <x v="2"/>
    <x v="0"/>
    <n v="0"/>
    <x v="1"/>
    <x v="2"/>
    <x v="4"/>
    <x v="0"/>
    <x v="0"/>
  </r>
  <r>
    <x v="752"/>
    <x v="0"/>
    <x v="1"/>
    <n v="60000"/>
    <x v="3"/>
    <x v="1"/>
    <x v="2"/>
    <x v="0"/>
    <n v="2"/>
    <x v="2"/>
    <x v="2"/>
    <x v="21"/>
    <x v="0"/>
    <x v="0"/>
  </r>
  <r>
    <x v="753"/>
    <x v="1"/>
    <x v="0"/>
    <n v="40000"/>
    <x v="3"/>
    <x v="1"/>
    <x v="0"/>
    <x v="1"/>
    <n v="1"/>
    <x v="3"/>
    <x v="2"/>
    <x v="40"/>
    <x v="2"/>
    <x v="0"/>
  </r>
  <r>
    <x v="754"/>
    <x v="0"/>
    <x v="0"/>
    <n v="40000"/>
    <x v="5"/>
    <x v="2"/>
    <x v="2"/>
    <x v="0"/>
    <n v="2"/>
    <x v="2"/>
    <x v="2"/>
    <x v="14"/>
    <x v="1"/>
    <x v="1"/>
  </r>
  <r>
    <x v="755"/>
    <x v="0"/>
    <x v="1"/>
    <n v="60000"/>
    <x v="1"/>
    <x v="2"/>
    <x v="2"/>
    <x v="1"/>
    <n v="2"/>
    <x v="1"/>
    <x v="2"/>
    <x v="39"/>
    <x v="0"/>
    <x v="0"/>
  </r>
  <r>
    <x v="756"/>
    <x v="0"/>
    <x v="1"/>
    <n v="40000"/>
    <x v="0"/>
    <x v="0"/>
    <x v="0"/>
    <x v="1"/>
    <n v="1"/>
    <x v="0"/>
    <x v="2"/>
    <x v="4"/>
    <x v="0"/>
    <x v="1"/>
  </r>
  <r>
    <x v="757"/>
    <x v="1"/>
    <x v="1"/>
    <n v="30000"/>
    <x v="0"/>
    <x v="2"/>
    <x v="1"/>
    <x v="0"/>
    <n v="2"/>
    <x v="3"/>
    <x v="2"/>
    <x v="36"/>
    <x v="0"/>
    <x v="1"/>
  </r>
  <r>
    <x v="758"/>
    <x v="1"/>
    <x v="0"/>
    <n v="80000"/>
    <x v="2"/>
    <x v="4"/>
    <x v="0"/>
    <x v="1"/>
    <n v="0"/>
    <x v="0"/>
    <x v="2"/>
    <x v="15"/>
    <x v="0"/>
    <x v="0"/>
  </r>
  <r>
    <x v="759"/>
    <x v="1"/>
    <x v="0"/>
    <n v="60000"/>
    <x v="1"/>
    <x v="4"/>
    <x v="2"/>
    <x v="0"/>
    <n v="0"/>
    <x v="1"/>
    <x v="2"/>
    <x v="1"/>
    <x v="0"/>
    <x v="1"/>
  </r>
  <r>
    <x v="760"/>
    <x v="1"/>
    <x v="1"/>
    <n v="20000"/>
    <x v="1"/>
    <x v="3"/>
    <x v="1"/>
    <x v="1"/>
    <n v="2"/>
    <x v="0"/>
    <x v="2"/>
    <x v="5"/>
    <x v="0"/>
    <x v="0"/>
  </r>
  <r>
    <x v="761"/>
    <x v="0"/>
    <x v="0"/>
    <n v="60000"/>
    <x v="2"/>
    <x v="0"/>
    <x v="4"/>
    <x v="0"/>
    <n v="3"/>
    <x v="4"/>
    <x v="2"/>
    <x v="14"/>
    <x v="1"/>
    <x v="0"/>
  </r>
  <r>
    <x v="762"/>
    <x v="1"/>
    <x v="1"/>
    <n v="50000"/>
    <x v="4"/>
    <x v="0"/>
    <x v="0"/>
    <x v="0"/>
    <n v="0"/>
    <x v="1"/>
    <x v="2"/>
    <x v="34"/>
    <x v="0"/>
    <x v="1"/>
  </r>
  <r>
    <x v="763"/>
    <x v="0"/>
    <x v="1"/>
    <n v="50000"/>
    <x v="0"/>
    <x v="4"/>
    <x v="0"/>
    <x v="0"/>
    <n v="0"/>
    <x v="0"/>
    <x v="2"/>
    <x v="6"/>
    <x v="0"/>
    <x v="1"/>
  </r>
  <r>
    <x v="764"/>
    <x v="0"/>
    <x v="0"/>
    <n v="60000"/>
    <x v="3"/>
    <x v="1"/>
    <x v="0"/>
    <x v="1"/>
    <n v="1"/>
    <x v="3"/>
    <x v="2"/>
    <x v="40"/>
    <x v="2"/>
    <x v="0"/>
  </r>
  <r>
    <x v="765"/>
    <x v="1"/>
    <x v="0"/>
    <n v="70000"/>
    <x v="3"/>
    <x v="1"/>
    <x v="0"/>
    <x v="0"/>
    <n v="2"/>
    <x v="2"/>
    <x v="2"/>
    <x v="17"/>
    <x v="0"/>
    <x v="1"/>
  </r>
  <r>
    <x v="766"/>
    <x v="0"/>
    <x v="1"/>
    <n v="50000"/>
    <x v="5"/>
    <x v="0"/>
    <x v="0"/>
    <x v="0"/>
    <n v="3"/>
    <x v="4"/>
    <x v="2"/>
    <x v="0"/>
    <x v="0"/>
    <x v="0"/>
  </r>
  <r>
    <x v="767"/>
    <x v="0"/>
    <x v="0"/>
    <n v="60000"/>
    <x v="4"/>
    <x v="1"/>
    <x v="2"/>
    <x v="0"/>
    <n v="2"/>
    <x v="1"/>
    <x v="2"/>
    <x v="42"/>
    <x v="1"/>
    <x v="1"/>
  </r>
  <r>
    <x v="768"/>
    <x v="0"/>
    <x v="0"/>
    <n v="120000"/>
    <x v="0"/>
    <x v="2"/>
    <x v="2"/>
    <x v="1"/>
    <n v="4"/>
    <x v="1"/>
    <x v="2"/>
    <x v="12"/>
    <x v="0"/>
    <x v="0"/>
  </r>
  <r>
    <x v="769"/>
    <x v="0"/>
    <x v="0"/>
    <n v="100000"/>
    <x v="5"/>
    <x v="0"/>
    <x v="4"/>
    <x v="0"/>
    <n v="4"/>
    <x v="0"/>
    <x v="2"/>
    <x v="8"/>
    <x v="0"/>
    <x v="0"/>
  </r>
  <r>
    <x v="770"/>
    <x v="0"/>
    <x v="1"/>
    <n v="60000"/>
    <x v="0"/>
    <x v="4"/>
    <x v="0"/>
    <x v="1"/>
    <n v="0"/>
    <x v="0"/>
    <x v="2"/>
    <x v="10"/>
    <x v="0"/>
    <x v="0"/>
  </r>
  <r>
    <x v="771"/>
    <x v="0"/>
    <x v="1"/>
    <n v="80000"/>
    <x v="0"/>
    <x v="1"/>
    <x v="0"/>
    <x v="1"/>
    <n v="1"/>
    <x v="0"/>
    <x v="2"/>
    <x v="15"/>
    <x v="0"/>
    <x v="1"/>
  </r>
  <r>
    <x v="772"/>
    <x v="1"/>
    <x v="1"/>
    <n v="60000"/>
    <x v="5"/>
    <x v="4"/>
    <x v="0"/>
    <x v="0"/>
    <n v="0"/>
    <x v="3"/>
    <x v="2"/>
    <x v="15"/>
    <x v="0"/>
    <x v="1"/>
  </r>
  <r>
    <x v="773"/>
    <x v="0"/>
    <x v="0"/>
    <n v="60000"/>
    <x v="0"/>
    <x v="4"/>
    <x v="0"/>
    <x v="0"/>
    <n v="0"/>
    <x v="0"/>
    <x v="2"/>
    <x v="17"/>
    <x v="0"/>
    <x v="0"/>
  </r>
  <r>
    <x v="774"/>
    <x v="0"/>
    <x v="0"/>
    <n v="80000"/>
    <x v="1"/>
    <x v="4"/>
    <x v="2"/>
    <x v="0"/>
    <n v="0"/>
    <x v="0"/>
    <x v="2"/>
    <x v="4"/>
    <x v="0"/>
    <x v="1"/>
  </r>
  <r>
    <x v="775"/>
    <x v="0"/>
    <x v="1"/>
    <n v="70000"/>
    <x v="4"/>
    <x v="3"/>
    <x v="0"/>
    <x v="0"/>
    <n v="2"/>
    <x v="4"/>
    <x v="2"/>
    <x v="9"/>
    <x v="0"/>
    <x v="0"/>
  </r>
  <r>
    <x v="776"/>
    <x v="1"/>
    <x v="1"/>
    <n v="70000"/>
    <x v="4"/>
    <x v="0"/>
    <x v="4"/>
    <x v="1"/>
    <n v="1"/>
    <x v="1"/>
    <x v="2"/>
    <x v="14"/>
    <x v="1"/>
    <x v="1"/>
  </r>
  <r>
    <x v="777"/>
    <x v="1"/>
    <x v="1"/>
    <n v="40000"/>
    <x v="3"/>
    <x v="2"/>
    <x v="0"/>
    <x v="0"/>
    <n v="2"/>
    <x v="2"/>
    <x v="2"/>
    <x v="40"/>
    <x v="2"/>
    <x v="0"/>
  </r>
  <r>
    <x v="778"/>
    <x v="0"/>
    <x v="1"/>
    <n v="90000"/>
    <x v="2"/>
    <x v="1"/>
    <x v="2"/>
    <x v="0"/>
    <n v="3"/>
    <x v="0"/>
    <x v="2"/>
    <x v="3"/>
    <x v="0"/>
    <x v="0"/>
  </r>
  <r>
    <x v="779"/>
    <x v="0"/>
    <x v="1"/>
    <n v="80000"/>
    <x v="1"/>
    <x v="1"/>
    <x v="2"/>
    <x v="1"/>
    <n v="2"/>
    <x v="1"/>
    <x v="2"/>
    <x v="5"/>
    <x v="0"/>
    <x v="1"/>
  </r>
  <r>
    <x v="780"/>
    <x v="0"/>
    <x v="0"/>
    <n v="60000"/>
    <x v="4"/>
    <x v="1"/>
    <x v="2"/>
    <x v="0"/>
    <n v="1"/>
    <x v="4"/>
    <x v="2"/>
    <x v="10"/>
    <x v="0"/>
    <x v="0"/>
  </r>
  <r>
    <x v="781"/>
    <x v="0"/>
    <x v="1"/>
    <n v="80000"/>
    <x v="5"/>
    <x v="0"/>
    <x v="4"/>
    <x v="0"/>
    <n v="0"/>
    <x v="0"/>
    <x v="2"/>
    <x v="1"/>
    <x v="0"/>
    <x v="0"/>
  </r>
  <r>
    <x v="782"/>
    <x v="1"/>
    <x v="1"/>
    <n v="70000"/>
    <x v="5"/>
    <x v="0"/>
    <x v="2"/>
    <x v="0"/>
    <n v="2"/>
    <x v="1"/>
    <x v="2"/>
    <x v="1"/>
    <x v="0"/>
    <x v="1"/>
  </r>
  <r>
    <x v="783"/>
    <x v="0"/>
    <x v="1"/>
    <n v="60000"/>
    <x v="5"/>
    <x v="0"/>
    <x v="0"/>
    <x v="0"/>
    <n v="3"/>
    <x v="2"/>
    <x v="2"/>
    <x v="0"/>
    <x v="0"/>
    <x v="0"/>
  </r>
  <r>
    <x v="784"/>
    <x v="1"/>
    <x v="0"/>
    <n v="10000"/>
    <x v="4"/>
    <x v="2"/>
    <x v="3"/>
    <x v="0"/>
    <n v="2"/>
    <x v="3"/>
    <x v="2"/>
    <x v="39"/>
    <x v="0"/>
    <x v="1"/>
  </r>
  <r>
    <x v="785"/>
    <x v="1"/>
    <x v="0"/>
    <n v="40000"/>
    <x v="3"/>
    <x v="2"/>
    <x v="0"/>
    <x v="1"/>
    <n v="2"/>
    <x v="0"/>
    <x v="2"/>
    <x v="26"/>
    <x v="2"/>
    <x v="1"/>
  </r>
  <r>
    <x v="786"/>
    <x v="0"/>
    <x v="0"/>
    <n v="50000"/>
    <x v="0"/>
    <x v="0"/>
    <x v="0"/>
    <x v="0"/>
    <n v="1"/>
    <x v="0"/>
    <x v="2"/>
    <x v="11"/>
    <x v="0"/>
    <x v="0"/>
  </r>
  <r>
    <x v="787"/>
    <x v="1"/>
    <x v="0"/>
    <n v="70000"/>
    <x v="4"/>
    <x v="0"/>
    <x v="4"/>
    <x v="1"/>
    <n v="1"/>
    <x v="1"/>
    <x v="2"/>
    <x v="14"/>
    <x v="1"/>
    <x v="1"/>
  </r>
  <r>
    <x v="788"/>
    <x v="1"/>
    <x v="0"/>
    <n v="20000"/>
    <x v="4"/>
    <x v="3"/>
    <x v="1"/>
    <x v="0"/>
    <n v="2"/>
    <x v="3"/>
    <x v="2"/>
    <x v="38"/>
    <x v="0"/>
    <x v="0"/>
  </r>
  <r>
    <x v="789"/>
    <x v="0"/>
    <x v="1"/>
    <n v="60000"/>
    <x v="4"/>
    <x v="2"/>
    <x v="2"/>
    <x v="1"/>
    <n v="2"/>
    <x v="3"/>
    <x v="2"/>
    <x v="28"/>
    <x v="0"/>
    <x v="1"/>
  </r>
  <r>
    <x v="790"/>
    <x v="1"/>
    <x v="0"/>
    <n v="80000"/>
    <x v="4"/>
    <x v="3"/>
    <x v="0"/>
    <x v="1"/>
    <n v="2"/>
    <x v="3"/>
    <x v="2"/>
    <x v="5"/>
    <x v="0"/>
    <x v="0"/>
  </r>
  <r>
    <x v="791"/>
    <x v="0"/>
    <x v="1"/>
    <n v="40000"/>
    <x v="3"/>
    <x v="2"/>
    <x v="0"/>
    <x v="0"/>
    <n v="2"/>
    <x v="2"/>
    <x v="2"/>
    <x v="26"/>
    <x v="2"/>
    <x v="1"/>
  </r>
  <r>
    <x v="792"/>
    <x v="1"/>
    <x v="1"/>
    <n v="30000"/>
    <x v="0"/>
    <x v="2"/>
    <x v="1"/>
    <x v="1"/>
    <n v="1"/>
    <x v="2"/>
    <x v="2"/>
    <x v="31"/>
    <x v="0"/>
    <x v="0"/>
  </r>
  <r>
    <x v="793"/>
    <x v="0"/>
    <x v="1"/>
    <n v="30000"/>
    <x v="0"/>
    <x v="2"/>
    <x v="1"/>
    <x v="0"/>
    <n v="1"/>
    <x v="1"/>
    <x v="2"/>
    <x v="31"/>
    <x v="0"/>
    <x v="1"/>
  </r>
  <r>
    <x v="794"/>
    <x v="0"/>
    <x v="1"/>
    <n v="50000"/>
    <x v="4"/>
    <x v="4"/>
    <x v="4"/>
    <x v="0"/>
    <n v="2"/>
    <x v="2"/>
    <x v="2"/>
    <x v="45"/>
    <x v="1"/>
    <x v="0"/>
  </r>
  <r>
    <x v="795"/>
    <x v="1"/>
    <x v="1"/>
    <n v="60000"/>
    <x v="4"/>
    <x v="2"/>
    <x v="2"/>
    <x v="0"/>
    <n v="2"/>
    <x v="2"/>
    <x v="2"/>
    <x v="36"/>
    <x v="0"/>
    <x v="0"/>
  </r>
  <r>
    <x v="796"/>
    <x v="0"/>
    <x v="1"/>
    <n v="70000"/>
    <x v="2"/>
    <x v="1"/>
    <x v="2"/>
    <x v="0"/>
    <n v="2"/>
    <x v="3"/>
    <x v="2"/>
    <x v="42"/>
    <x v="1"/>
    <x v="1"/>
  </r>
  <r>
    <x v="797"/>
    <x v="1"/>
    <x v="1"/>
    <n v="60000"/>
    <x v="3"/>
    <x v="1"/>
    <x v="0"/>
    <x v="0"/>
    <n v="1"/>
    <x v="2"/>
    <x v="2"/>
    <x v="40"/>
    <x v="2"/>
    <x v="1"/>
  </r>
  <r>
    <x v="798"/>
    <x v="1"/>
    <x v="0"/>
    <n v="30000"/>
    <x v="3"/>
    <x v="2"/>
    <x v="0"/>
    <x v="1"/>
    <n v="2"/>
    <x v="0"/>
    <x v="2"/>
    <x v="37"/>
    <x v="2"/>
    <x v="1"/>
  </r>
  <r>
    <x v="799"/>
    <x v="1"/>
    <x v="0"/>
    <n v="50000"/>
    <x v="0"/>
    <x v="4"/>
    <x v="0"/>
    <x v="0"/>
    <n v="0"/>
    <x v="3"/>
    <x v="2"/>
    <x v="6"/>
    <x v="0"/>
    <x v="1"/>
  </r>
  <r>
    <x v="800"/>
    <x v="1"/>
    <x v="1"/>
    <n v="60000"/>
    <x v="5"/>
    <x v="0"/>
    <x v="2"/>
    <x v="0"/>
    <n v="2"/>
    <x v="1"/>
    <x v="2"/>
    <x v="1"/>
    <x v="0"/>
    <x v="1"/>
  </r>
  <r>
    <x v="801"/>
    <x v="0"/>
    <x v="1"/>
    <n v="70000"/>
    <x v="5"/>
    <x v="4"/>
    <x v="4"/>
    <x v="0"/>
    <n v="2"/>
    <x v="2"/>
    <x v="2"/>
    <x v="49"/>
    <x v="1"/>
    <x v="0"/>
  </r>
  <r>
    <x v="802"/>
    <x v="0"/>
    <x v="1"/>
    <n v="40000"/>
    <x v="3"/>
    <x v="1"/>
    <x v="0"/>
    <x v="0"/>
    <n v="1"/>
    <x v="2"/>
    <x v="2"/>
    <x v="40"/>
    <x v="2"/>
    <x v="0"/>
  </r>
  <r>
    <x v="803"/>
    <x v="0"/>
    <x v="1"/>
    <n v="40000"/>
    <x v="3"/>
    <x v="2"/>
    <x v="0"/>
    <x v="0"/>
    <n v="2"/>
    <x v="2"/>
    <x v="2"/>
    <x v="26"/>
    <x v="2"/>
    <x v="1"/>
  </r>
  <r>
    <x v="804"/>
    <x v="0"/>
    <x v="1"/>
    <n v="40000"/>
    <x v="3"/>
    <x v="2"/>
    <x v="0"/>
    <x v="1"/>
    <n v="2"/>
    <x v="0"/>
    <x v="2"/>
    <x v="40"/>
    <x v="2"/>
    <x v="1"/>
  </r>
  <r>
    <x v="805"/>
    <x v="1"/>
    <x v="0"/>
    <n v="40000"/>
    <x v="3"/>
    <x v="2"/>
    <x v="0"/>
    <x v="0"/>
    <n v="2"/>
    <x v="2"/>
    <x v="2"/>
    <x v="23"/>
    <x v="0"/>
    <x v="0"/>
  </r>
  <r>
    <x v="806"/>
    <x v="0"/>
    <x v="0"/>
    <n v="10000"/>
    <x v="4"/>
    <x v="2"/>
    <x v="3"/>
    <x v="0"/>
    <n v="2"/>
    <x v="3"/>
    <x v="2"/>
    <x v="39"/>
    <x v="0"/>
    <x v="0"/>
  </r>
  <r>
    <x v="807"/>
    <x v="1"/>
    <x v="0"/>
    <n v="60000"/>
    <x v="3"/>
    <x v="1"/>
    <x v="2"/>
    <x v="1"/>
    <n v="2"/>
    <x v="3"/>
    <x v="2"/>
    <x v="21"/>
    <x v="0"/>
    <x v="1"/>
  </r>
  <r>
    <x v="808"/>
    <x v="1"/>
    <x v="1"/>
    <n v="30000"/>
    <x v="4"/>
    <x v="2"/>
    <x v="0"/>
    <x v="0"/>
    <n v="2"/>
    <x v="3"/>
    <x v="2"/>
    <x v="5"/>
    <x v="0"/>
    <x v="1"/>
  </r>
  <r>
    <x v="809"/>
    <x v="0"/>
    <x v="0"/>
    <n v="40000"/>
    <x v="5"/>
    <x v="2"/>
    <x v="2"/>
    <x v="0"/>
    <n v="2"/>
    <x v="2"/>
    <x v="2"/>
    <x v="45"/>
    <x v="1"/>
    <x v="0"/>
  </r>
  <r>
    <x v="810"/>
    <x v="1"/>
    <x v="0"/>
    <n v="70000"/>
    <x v="1"/>
    <x v="4"/>
    <x v="4"/>
    <x v="0"/>
    <n v="2"/>
    <x v="2"/>
    <x v="2"/>
    <x v="31"/>
    <x v="0"/>
    <x v="1"/>
  </r>
  <r>
    <x v="811"/>
    <x v="0"/>
    <x v="1"/>
    <n v="60000"/>
    <x v="3"/>
    <x v="1"/>
    <x v="0"/>
    <x v="1"/>
    <n v="2"/>
    <x v="3"/>
    <x v="2"/>
    <x v="23"/>
    <x v="0"/>
    <x v="0"/>
  </r>
  <r>
    <x v="812"/>
    <x v="1"/>
    <x v="0"/>
    <n v="70000"/>
    <x v="5"/>
    <x v="0"/>
    <x v="4"/>
    <x v="0"/>
    <n v="2"/>
    <x v="4"/>
    <x v="2"/>
    <x v="33"/>
    <x v="1"/>
    <x v="0"/>
  </r>
  <r>
    <x v="813"/>
    <x v="0"/>
    <x v="0"/>
    <n v="70000"/>
    <x v="4"/>
    <x v="2"/>
    <x v="2"/>
    <x v="0"/>
    <n v="2"/>
    <x v="4"/>
    <x v="2"/>
    <x v="39"/>
    <x v="0"/>
    <x v="0"/>
  </r>
  <r>
    <x v="814"/>
    <x v="1"/>
    <x v="0"/>
    <n v="70000"/>
    <x v="5"/>
    <x v="0"/>
    <x v="4"/>
    <x v="0"/>
    <n v="2"/>
    <x v="3"/>
    <x v="2"/>
    <x v="24"/>
    <x v="1"/>
    <x v="1"/>
  </r>
  <r>
    <x v="815"/>
    <x v="0"/>
    <x v="1"/>
    <n v="40000"/>
    <x v="3"/>
    <x v="1"/>
    <x v="0"/>
    <x v="1"/>
    <n v="2"/>
    <x v="3"/>
    <x v="2"/>
    <x v="25"/>
    <x v="2"/>
    <x v="0"/>
  </r>
  <r>
    <x v="816"/>
    <x v="0"/>
    <x v="0"/>
    <n v="60000"/>
    <x v="1"/>
    <x v="4"/>
    <x v="2"/>
    <x v="0"/>
    <n v="0"/>
    <x v="1"/>
    <x v="2"/>
    <x v="1"/>
    <x v="0"/>
    <x v="1"/>
  </r>
  <r>
    <x v="817"/>
    <x v="0"/>
    <x v="0"/>
    <n v="60000"/>
    <x v="1"/>
    <x v="4"/>
    <x v="2"/>
    <x v="0"/>
    <n v="0"/>
    <x v="1"/>
    <x v="2"/>
    <x v="0"/>
    <x v="0"/>
    <x v="1"/>
  </r>
  <r>
    <x v="818"/>
    <x v="0"/>
    <x v="1"/>
    <n v="40000"/>
    <x v="3"/>
    <x v="1"/>
    <x v="0"/>
    <x v="0"/>
    <n v="1"/>
    <x v="2"/>
    <x v="2"/>
    <x v="25"/>
    <x v="2"/>
    <x v="0"/>
  </r>
  <r>
    <x v="819"/>
    <x v="1"/>
    <x v="0"/>
    <n v="40000"/>
    <x v="3"/>
    <x v="2"/>
    <x v="0"/>
    <x v="0"/>
    <n v="2"/>
    <x v="2"/>
    <x v="2"/>
    <x v="25"/>
    <x v="2"/>
    <x v="0"/>
  </r>
  <r>
    <x v="820"/>
    <x v="1"/>
    <x v="1"/>
    <n v="110000"/>
    <x v="0"/>
    <x v="0"/>
    <x v="4"/>
    <x v="0"/>
    <n v="1"/>
    <x v="2"/>
    <x v="2"/>
    <x v="1"/>
    <x v="0"/>
    <x v="0"/>
  </r>
  <r>
    <x v="821"/>
    <x v="0"/>
    <x v="1"/>
    <n v="60000"/>
    <x v="3"/>
    <x v="1"/>
    <x v="0"/>
    <x v="0"/>
    <n v="2"/>
    <x v="2"/>
    <x v="2"/>
    <x v="6"/>
    <x v="0"/>
    <x v="1"/>
  </r>
  <r>
    <x v="822"/>
    <x v="0"/>
    <x v="1"/>
    <n v="30000"/>
    <x v="3"/>
    <x v="2"/>
    <x v="0"/>
    <x v="0"/>
    <n v="2"/>
    <x v="2"/>
    <x v="2"/>
    <x v="21"/>
    <x v="0"/>
    <x v="0"/>
  </r>
  <r>
    <x v="823"/>
    <x v="1"/>
    <x v="0"/>
    <n v="70000"/>
    <x v="5"/>
    <x v="2"/>
    <x v="2"/>
    <x v="0"/>
    <n v="0"/>
    <x v="2"/>
    <x v="2"/>
    <x v="5"/>
    <x v="0"/>
    <x v="1"/>
  </r>
  <r>
    <x v="824"/>
    <x v="1"/>
    <x v="1"/>
    <n v="110000"/>
    <x v="4"/>
    <x v="0"/>
    <x v="4"/>
    <x v="1"/>
    <n v="3"/>
    <x v="0"/>
    <x v="2"/>
    <x v="34"/>
    <x v="0"/>
    <x v="1"/>
  </r>
  <r>
    <x v="825"/>
    <x v="0"/>
    <x v="1"/>
    <n v="70000"/>
    <x v="1"/>
    <x v="2"/>
    <x v="2"/>
    <x v="1"/>
    <n v="1"/>
    <x v="3"/>
    <x v="2"/>
    <x v="31"/>
    <x v="0"/>
    <x v="1"/>
  </r>
  <r>
    <x v="826"/>
    <x v="0"/>
    <x v="1"/>
    <n v="70000"/>
    <x v="5"/>
    <x v="4"/>
    <x v="2"/>
    <x v="0"/>
    <n v="0"/>
    <x v="1"/>
    <x v="2"/>
    <x v="4"/>
    <x v="0"/>
    <x v="1"/>
  </r>
  <r>
    <x v="827"/>
    <x v="1"/>
    <x v="0"/>
    <n v="80000"/>
    <x v="1"/>
    <x v="0"/>
    <x v="0"/>
    <x v="0"/>
    <n v="2"/>
    <x v="1"/>
    <x v="2"/>
    <x v="3"/>
    <x v="0"/>
    <x v="1"/>
  </r>
  <r>
    <x v="828"/>
    <x v="1"/>
    <x v="0"/>
    <n v="40000"/>
    <x v="3"/>
    <x v="3"/>
    <x v="1"/>
    <x v="0"/>
    <n v="2"/>
    <x v="2"/>
    <x v="2"/>
    <x v="22"/>
    <x v="2"/>
    <x v="0"/>
  </r>
  <r>
    <x v="829"/>
    <x v="1"/>
    <x v="1"/>
    <n v="170000"/>
    <x v="0"/>
    <x v="4"/>
    <x v="4"/>
    <x v="1"/>
    <n v="4"/>
    <x v="0"/>
    <x v="2"/>
    <x v="29"/>
    <x v="1"/>
    <x v="0"/>
  </r>
  <r>
    <x v="830"/>
    <x v="0"/>
    <x v="1"/>
    <n v="60000"/>
    <x v="4"/>
    <x v="2"/>
    <x v="2"/>
    <x v="1"/>
    <n v="2"/>
    <x v="2"/>
    <x v="2"/>
    <x v="36"/>
    <x v="0"/>
    <x v="0"/>
  </r>
  <r>
    <x v="831"/>
    <x v="0"/>
    <x v="0"/>
    <n v="70000"/>
    <x v="5"/>
    <x v="0"/>
    <x v="2"/>
    <x v="0"/>
    <n v="2"/>
    <x v="0"/>
    <x v="2"/>
    <x v="1"/>
    <x v="0"/>
    <x v="1"/>
  </r>
  <r>
    <x v="832"/>
    <x v="0"/>
    <x v="0"/>
    <n v="60000"/>
    <x v="3"/>
    <x v="4"/>
    <x v="2"/>
    <x v="0"/>
    <n v="0"/>
    <x v="0"/>
    <x v="2"/>
    <x v="32"/>
    <x v="0"/>
    <x v="0"/>
  </r>
  <r>
    <x v="833"/>
    <x v="1"/>
    <x v="0"/>
    <n v="70000"/>
    <x v="3"/>
    <x v="0"/>
    <x v="2"/>
    <x v="1"/>
    <n v="1"/>
    <x v="0"/>
    <x v="2"/>
    <x v="34"/>
    <x v="0"/>
    <x v="1"/>
  </r>
  <r>
    <x v="834"/>
    <x v="1"/>
    <x v="0"/>
    <n v="70000"/>
    <x v="4"/>
    <x v="3"/>
    <x v="0"/>
    <x v="1"/>
    <n v="2"/>
    <x v="1"/>
    <x v="2"/>
    <x v="9"/>
    <x v="0"/>
    <x v="1"/>
  </r>
  <r>
    <x v="835"/>
    <x v="1"/>
    <x v="0"/>
    <n v="60000"/>
    <x v="1"/>
    <x v="0"/>
    <x v="0"/>
    <x v="0"/>
    <n v="0"/>
    <x v="1"/>
    <x v="2"/>
    <x v="8"/>
    <x v="0"/>
    <x v="1"/>
  </r>
  <r>
    <x v="836"/>
    <x v="0"/>
    <x v="0"/>
    <n v="40000"/>
    <x v="3"/>
    <x v="1"/>
    <x v="0"/>
    <x v="0"/>
    <n v="2"/>
    <x v="2"/>
    <x v="2"/>
    <x v="26"/>
    <x v="2"/>
    <x v="0"/>
  </r>
  <r>
    <x v="837"/>
    <x v="0"/>
    <x v="1"/>
    <n v="60000"/>
    <x v="0"/>
    <x v="4"/>
    <x v="0"/>
    <x v="0"/>
    <n v="0"/>
    <x v="0"/>
    <x v="2"/>
    <x v="6"/>
    <x v="0"/>
    <x v="0"/>
  </r>
  <r>
    <x v="838"/>
    <x v="1"/>
    <x v="0"/>
    <n v="80000"/>
    <x v="1"/>
    <x v="0"/>
    <x v="0"/>
    <x v="0"/>
    <n v="2"/>
    <x v="1"/>
    <x v="2"/>
    <x v="3"/>
    <x v="0"/>
    <x v="1"/>
  </r>
  <r>
    <x v="839"/>
    <x v="1"/>
    <x v="0"/>
    <n v="80000"/>
    <x v="1"/>
    <x v="4"/>
    <x v="2"/>
    <x v="0"/>
    <n v="0"/>
    <x v="0"/>
    <x v="2"/>
    <x v="34"/>
    <x v="0"/>
    <x v="1"/>
  </r>
  <r>
    <x v="840"/>
    <x v="0"/>
    <x v="1"/>
    <n v="70000"/>
    <x v="5"/>
    <x v="1"/>
    <x v="2"/>
    <x v="0"/>
    <n v="2"/>
    <x v="4"/>
    <x v="2"/>
    <x v="39"/>
    <x v="0"/>
    <x v="0"/>
  </r>
  <r>
    <x v="841"/>
    <x v="0"/>
    <x v="1"/>
    <n v="120000"/>
    <x v="4"/>
    <x v="4"/>
    <x v="4"/>
    <x v="0"/>
    <n v="3"/>
    <x v="2"/>
    <x v="2"/>
    <x v="46"/>
    <x v="1"/>
    <x v="0"/>
  </r>
  <r>
    <x v="842"/>
    <x v="0"/>
    <x v="0"/>
    <n v="60000"/>
    <x v="0"/>
    <x v="1"/>
    <x v="0"/>
    <x v="0"/>
    <n v="1"/>
    <x v="1"/>
    <x v="2"/>
    <x v="12"/>
    <x v="0"/>
    <x v="1"/>
  </r>
  <r>
    <x v="843"/>
    <x v="1"/>
    <x v="1"/>
    <n v="80000"/>
    <x v="4"/>
    <x v="3"/>
    <x v="0"/>
    <x v="1"/>
    <n v="2"/>
    <x v="3"/>
    <x v="2"/>
    <x v="31"/>
    <x v="0"/>
    <x v="0"/>
  </r>
  <r>
    <x v="844"/>
    <x v="0"/>
    <x v="0"/>
    <n v="40000"/>
    <x v="2"/>
    <x v="2"/>
    <x v="2"/>
    <x v="0"/>
    <n v="2"/>
    <x v="4"/>
    <x v="2"/>
    <x v="2"/>
    <x v="1"/>
    <x v="0"/>
  </r>
  <r>
    <x v="845"/>
    <x v="1"/>
    <x v="0"/>
    <n v="20000"/>
    <x v="1"/>
    <x v="3"/>
    <x v="1"/>
    <x v="0"/>
    <n v="2"/>
    <x v="3"/>
    <x v="2"/>
    <x v="5"/>
    <x v="0"/>
    <x v="0"/>
  </r>
  <r>
    <x v="846"/>
    <x v="0"/>
    <x v="0"/>
    <n v="70000"/>
    <x v="5"/>
    <x v="1"/>
    <x v="2"/>
    <x v="1"/>
    <n v="1"/>
    <x v="3"/>
    <x v="2"/>
    <x v="16"/>
    <x v="1"/>
    <x v="0"/>
  </r>
  <r>
    <x v="847"/>
    <x v="1"/>
    <x v="0"/>
    <n v="40000"/>
    <x v="3"/>
    <x v="3"/>
    <x v="1"/>
    <x v="0"/>
    <n v="2"/>
    <x v="2"/>
    <x v="2"/>
    <x v="19"/>
    <x v="2"/>
    <x v="0"/>
  </r>
  <r>
    <x v="848"/>
    <x v="1"/>
    <x v="1"/>
    <n v="130000"/>
    <x v="3"/>
    <x v="4"/>
    <x v="4"/>
    <x v="1"/>
    <n v="2"/>
    <x v="0"/>
    <x v="2"/>
    <x v="13"/>
    <x v="0"/>
    <x v="1"/>
  </r>
  <r>
    <x v="849"/>
    <x v="0"/>
    <x v="0"/>
    <n v="40000"/>
    <x v="2"/>
    <x v="2"/>
    <x v="2"/>
    <x v="1"/>
    <n v="2"/>
    <x v="1"/>
    <x v="2"/>
    <x v="2"/>
    <x v="1"/>
    <x v="0"/>
  </r>
  <r>
    <x v="850"/>
    <x v="1"/>
    <x v="0"/>
    <n v="130000"/>
    <x v="4"/>
    <x v="0"/>
    <x v="4"/>
    <x v="1"/>
    <n v="4"/>
    <x v="0"/>
    <x v="2"/>
    <x v="41"/>
    <x v="1"/>
    <x v="0"/>
  </r>
  <r>
    <x v="851"/>
    <x v="0"/>
    <x v="1"/>
    <n v="60000"/>
    <x v="3"/>
    <x v="1"/>
    <x v="0"/>
    <x v="0"/>
    <n v="1"/>
    <x v="2"/>
    <x v="2"/>
    <x v="21"/>
    <x v="0"/>
    <x v="1"/>
  </r>
  <r>
    <x v="852"/>
    <x v="1"/>
    <x v="1"/>
    <n v="50000"/>
    <x v="4"/>
    <x v="0"/>
    <x v="0"/>
    <x v="1"/>
    <n v="1"/>
    <x v="0"/>
    <x v="2"/>
    <x v="32"/>
    <x v="0"/>
    <x v="1"/>
  </r>
  <r>
    <x v="853"/>
    <x v="1"/>
    <x v="1"/>
    <n v="60000"/>
    <x v="0"/>
    <x v="4"/>
    <x v="2"/>
    <x v="0"/>
    <n v="0"/>
    <x v="1"/>
    <x v="2"/>
    <x v="11"/>
    <x v="0"/>
    <x v="1"/>
  </r>
  <r>
    <x v="854"/>
    <x v="0"/>
    <x v="0"/>
    <n v="60000"/>
    <x v="3"/>
    <x v="1"/>
    <x v="2"/>
    <x v="0"/>
    <n v="2"/>
    <x v="2"/>
    <x v="2"/>
    <x v="21"/>
    <x v="0"/>
    <x v="0"/>
  </r>
  <r>
    <x v="855"/>
    <x v="1"/>
    <x v="0"/>
    <n v="30000"/>
    <x v="3"/>
    <x v="1"/>
    <x v="0"/>
    <x v="1"/>
    <n v="1"/>
    <x v="3"/>
    <x v="2"/>
    <x v="23"/>
    <x v="0"/>
    <x v="0"/>
  </r>
  <r>
    <x v="856"/>
    <x v="1"/>
    <x v="1"/>
    <n v="40000"/>
    <x v="3"/>
    <x v="1"/>
    <x v="0"/>
    <x v="0"/>
    <n v="1"/>
    <x v="2"/>
    <x v="2"/>
    <x v="40"/>
    <x v="2"/>
    <x v="0"/>
  </r>
  <r>
    <x v="857"/>
    <x v="0"/>
    <x v="0"/>
    <n v="60000"/>
    <x v="0"/>
    <x v="0"/>
    <x v="2"/>
    <x v="0"/>
    <n v="1"/>
    <x v="0"/>
    <x v="2"/>
    <x v="15"/>
    <x v="0"/>
    <x v="1"/>
  </r>
  <r>
    <x v="858"/>
    <x v="0"/>
    <x v="1"/>
    <n v="40000"/>
    <x v="3"/>
    <x v="0"/>
    <x v="2"/>
    <x v="1"/>
    <n v="1"/>
    <x v="0"/>
    <x v="2"/>
    <x v="0"/>
    <x v="0"/>
    <x v="0"/>
  </r>
  <r>
    <x v="859"/>
    <x v="0"/>
    <x v="1"/>
    <n v="30000"/>
    <x v="4"/>
    <x v="2"/>
    <x v="0"/>
    <x v="0"/>
    <n v="2"/>
    <x v="3"/>
    <x v="2"/>
    <x v="38"/>
    <x v="0"/>
    <x v="0"/>
  </r>
  <r>
    <x v="860"/>
    <x v="1"/>
    <x v="1"/>
    <n v="30000"/>
    <x v="3"/>
    <x v="1"/>
    <x v="0"/>
    <x v="0"/>
    <n v="1"/>
    <x v="2"/>
    <x v="2"/>
    <x v="21"/>
    <x v="0"/>
    <x v="0"/>
  </r>
  <r>
    <x v="861"/>
    <x v="0"/>
    <x v="0"/>
    <n v="20000"/>
    <x v="4"/>
    <x v="2"/>
    <x v="3"/>
    <x v="1"/>
    <n v="2"/>
    <x v="3"/>
    <x v="2"/>
    <x v="39"/>
    <x v="0"/>
    <x v="1"/>
  </r>
  <r>
    <x v="862"/>
    <x v="0"/>
    <x v="1"/>
    <n v="50000"/>
    <x v="3"/>
    <x v="4"/>
    <x v="0"/>
    <x v="0"/>
    <n v="0"/>
    <x v="3"/>
    <x v="2"/>
    <x v="21"/>
    <x v="0"/>
    <x v="1"/>
  </r>
  <r>
    <x v="863"/>
    <x v="1"/>
    <x v="1"/>
    <n v="80000"/>
    <x v="3"/>
    <x v="0"/>
    <x v="4"/>
    <x v="1"/>
    <n v="1"/>
    <x v="0"/>
    <x v="2"/>
    <x v="13"/>
    <x v="0"/>
    <x v="1"/>
  </r>
  <r>
    <x v="864"/>
    <x v="1"/>
    <x v="1"/>
    <n v="40000"/>
    <x v="3"/>
    <x v="2"/>
    <x v="0"/>
    <x v="0"/>
    <n v="2"/>
    <x v="2"/>
    <x v="2"/>
    <x v="23"/>
    <x v="0"/>
    <x v="0"/>
  </r>
  <r>
    <x v="865"/>
    <x v="1"/>
    <x v="0"/>
    <n v="80000"/>
    <x v="3"/>
    <x v="0"/>
    <x v="4"/>
    <x v="1"/>
    <n v="1"/>
    <x v="0"/>
    <x v="2"/>
    <x v="13"/>
    <x v="0"/>
    <x v="1"/>
  </r>
  <r>
    <x v="866"/>
    <x v="0"/>
    <x v="1"/>
    <n v="60000"/>
    <x v="4"/>
    <x v="2"/>
    <x v="2"/>
    <x v="0"/>
    <n v="2"/>
    <x v="4"/>
    <x v="2"/>
    <x v="10"/>
    <x v="0"/>
    <x v="0"/>
  </r>
  <r>
    <x v="867"/>
    <x v="0"/>
    <x v="1"/>
    <n v="70000"/>
    <x v="1"/>
    <x v="1"/>
    <x v="2"/>
    <x v="0"/>
    <n v="1"/>
    <x v="2"/>
    <x v="2"/>
    <x v="38"/>
    <x v="0"/>
    <x v="0"/>
  </r>
  <r>
    <x v="868"/>
    <x v="1"/>
    <x v="1"/>
    <n v="30000"/>
    <x v="2"/>
    <x v="3"/>
    <x v="0"/>
    <x v="0"/>
    <n v="3"/>
    <x v="4"/>
    <x v="2"/>
    <x v="2"/>
    <x v="1"/>
    <x v="1"/>
  </r>
  <r>
    <x v="869"/>
    <x v="1"/>
    <x v="0"/>
    <n v="110000"/>
    <x v="1"/>
    <x v="0"/>
    <x v="4"/>
    <x v="1"/>
    <n v="4"/>
    <x v="3"/>
    <x v="2"/>
    <x v="0"/>
    <x v="0"/>
    <x v="0"/>
  </r>
  <r>
    <x v="870"/>
    <x v="0"/>
    <x v="1"/>
    <n v="60000"/>
    <x v="0"/>
    <x v="1"/>
    <x v="0"/>
    <x v="0"/>
    <n v="1"/>
    <x v="0"/>
    <x v="2"/>
    <x v="30"/>
    <x v="0"/>
    <x v="0"/>
  </r>
  <r>
    <x v="871"/>
    <x v="0"/>
    <x v="1"/>
    <n v="60000"/>
    <x v="4"/>
    <x v="2"/>
    <x v="2"/>
    <x v="0"/>
    <n v="2"/>
    <x v="4"/>
    <x v="2"/>
    <x v="10"/>
    <x v="0"/>
    <x v="0"/>
  </r>
  <r>
    <x v="872"/>
    <x v="1"/>
    <x v="0"/>
    <n v="70000"/>
    <x v="1"/>
    <x v="4"/>
    <x v="4"/>
    <x v="0"/>
    <n v="2"/>
    <x v="2"/>
    <x v="2"/>
    <x v="39"/>
    <x v="0"/>
    <x v="1"/>
  </r>
  <r>
    <x v="873"/>
    <x v="0"/>
    <x v="1"/>
    <n v="50000"/>
    <x v="1"/>
    <x v="0"/>
    <x v="0"/>
    <x v="0"/>
    <n v="2"/>
    <x v="1"/>
    <x v="2"/>
    <x v="8"/>
    <x v="0"/>
    <x v="0"/>
  </r>
  <r>
    <x v="874"/>
    <x v="0"/>
    <x v="0"/>
    <n v="30000"/>
    <x v="0"/>
    <x v="0"/>
    <x v="0"/>
    <x v="0"/>
    <n v="1"/>
    <x v="2"/>
    <x v="2"/>
    <x v="39"/>
    <x v="0"/>
    <x v="1"/>
  </r>
  <r>
    <x v="875"/>
    <x v="1"/>
    <x v="0"/>
    <n v="70000"/>
    <x v="4"/>
    <x v="0"/>
    <x v="0"/>
    <x v="0"/>
    <n v="0"/>
    <x v="1"/>
    <x v="2"/>
    <x v="13"/>
    <x v="0"/>
    <x v="1"/>
  </r>
  <r>
    <x v="876"/>
    <x v="1"/>
    <x v="1"/>
    <n v="30000"/>
    <x v="3"/>
    <x v="3"/>
    <x v="1"/>
    <x v="1"/>
    <n v="2"/>
    <x v="0"/>
    <x v="2"/>
    <x v="22"/>
    <x v="2"/>
    <x v="0"/>
  </r>
  <r>
    <x v="877"/>
    <x v="0"/>
    <x v="1"/>
    <n v="70000"/>
    <x v="2"/>
    <x v="0"/>
    <x v="4"/>
    <x v="0"/>
    <n v="2"/>
    <x v="1"/>
    <x v="2"/>
    <x v="33"/>
    <x v="1"/>
    <x v="0"/>
  </r>
  <r>
    <x v="878"/>
    <x v="0"/>
    <x v="1"/>
    <n v="50000"/>
    <x v="4"/>
    <x v="4"/>
    <x v="4"/>
    <x v="0"/>
    <n v="2"/>
    <x v="2"/>
    <x v="2"/>
    <x v="51"/>
    <x v="1"/>
    <x v="0"/>
  </r>
  <r>
    <x v="879"/>
    <x v="0"/>
    <x v="1"/>
    <n v="90000"/>
    <x v="5"/>
    <x v="2"/>
    <x v="2"/>
    <x v="0"/>
    <n v="2"/>
    <x v="3"/>
    <x v="2"/>
    <x v="12"/>
    <x v="0"/>
    <x v="0"/>
  </r>
  <r>
    <x v="880"/>
    <x v="0"/>
    <x v="1"/>
    <n v="80000"/>
    <x v="4"/>
    <x v="4"/>
    <x v="2"/>
    <x v="0"/>
    <n v="0"/>
    <x v="0"/>
    <x v="2"/>
    <x v="34"/>
    <x v="0"/>
    <x v="1"/>
  </r>
  <r>
    <x v="881"/>
    <x v="0"/>
    <x v="0"/>
    <n v="80000"/>
    <x v="5"/>
    <x v="4"/>
    <x v="4"/>
    <x v="0"/>
    <n v="2"/>
    <x v="0"/>
    <x v="2"/>
    <x v="52"/>
    <x v="1"/>
    <x v="1"/>
  </r>
  <r>
    <x v="882"/>
    <x v="0"/>
    <x v="1"/>
    <n v="30000"/>
    <x v="3"/>
    <x v="4"/>
    <x v="0"/>
    <x v="0"/>
    <n v="0"/>
    <x v="0"/>
    <x v="2"/>
    <x v="21"/>
    <x v="0"/>
    <x v="0"/>
  </r>
  <r>
    <x v="883"/>
    <x v="0"/>
    <x v="0"/>
    <n v="60000"/>
    <x v="0"/>
    <x v="0"/>
    <x v="2"/>
    <x v="0"/>
    <n v="1"/>
    <x v="1"/>
    <x v="2"/>
    <x v="28"/>
    <x v="0"/>
    <x v="1"/>
  </r>
  <r>
    <x v="884"/>
    <x v="0"/>
    <x v="1"/>
    <n v="80000"/>
    <x v="5"/>
    <x v="4"/>
    <x v="4"/>
    <x v="0"/>
    <n v="2"/>
    <x v="2"/>
    <x v="2"/>
    <x v="35"/>
    <x v="1"/>
    <x v="0"/>
  </r>
  <r>
    <x v="885"/>
    <x v="0"/>
    <x v="0"/>
    <n v="20000"/>
    <x v="4"/>
    <x v="3"/>
    <x v="1"/>
    <x v="0"/>
    <n v="2"/>
    <x v="0"/>
    <x v="2"/>
    <x v="38"/>
    <x v="0"/>
    <x v="0"/>
  </r>
  <r>
    <x v="886"/>
    <x v="0"/>
    <x v="1"/>
    <n v="70000"/>
    <x v="1"/>
    <x v="4"/>
    <x v="2"/>
    <x v="0"/>
    <n v="0"/>
    <x v="1"/>
    <x v="2"/>
    <x v="17"/>
    <x v="0"/>
    <x v="0"/>
  </r>
  <r>
    <x v="887"/>
    <x v="0"/>
    <x v="1"/>
    <n v="50000"/>
    <x v="3"/>
    <x v="4"/>
    <x v="0"/>
    <x v="0"/>
    <n v="0"/>
    <x v="0"/>
    <x v="2"/>
    <x v="21"/>
    <x v="0"/>
    <x v="0"/>
  </r>
  <r>
    <x v="888"/>
    <x v="1"/>
    <x v="0"/>
    <n v="60000"/>
    <x v="5"/>
    <x v="0"/>
    <x v="0"/>
    <x v="1"/>
    <n v="2"/>
    <x v="0"/>
    <x v="2"/>
    <x v="0"/>
    <x v="0"/>
    <x v="0"/>
  </r>
  <r>
    <x v="889"/>
    <x v="0"/>
    <x v="0"/>
    <n v="70000"/>
    <x v="0"/>
    <x v="4"/>
    <x v="0"/>
    <x v="0"/>
    <n v="0"/>
    <x v="0"/>
    <x v="2"/>
    <x v="11"/>
    <x v="0"/>
    <x v="1"/>
  </r>
  <r>
    <x v="890"/>
    <x v="0"/>
    <x v="0"/>
    <n v="40000"/>
    <x v="4"/>
    <x v="1"/>
    <x v="1"/>
    <x v="0"/>
    <n v="1"/>
    <x v="0"/>
    <x v="2"/>
    <x v="28"/>
    <x v="0"/>
    <x v="0"/>
  </r>
  <r>
    <x v="891"/>
    <x v="1"/>
    <x v="1"/>
    <n v="100000"/>
    <x v="0"/>
    <x v="4"/>
    <x v="4"/>
    <x v="0"/>
    <n v="3"/>
    <x v="1"/>
    <x v="2"/>
    <x v="49"/>
    <x v="1"/>
    <x v="1"/>
  </r>
  <r>
    <x v="892"/>
    <x v="1"/>
    <x v="0"/>
    <n v="70000"/>
    <x v="5"/>
    <x v="0"/>
    <x v="0"/>
    <x v="0"/>
    <n v="2"/>
    <x v="1"/>
    <x v="2"/>
    <x v="1"/>
    <x v="0"/>
    <x v="1"/>
  </r>
  <r>
    <x v="893"/>
    <x v="0"/>
    <x v="1"/>
    <n v="60000"/>
    <x v="0"/>
    <x v="4"/>
    <x v="2"/>
    <x v="0"/>
    <n v="0"/>
    <x v="0"/>
    <x v="2"/>
    <x v="11"/>
    <x v="0"/>
    <x v="0"/>
  </r>
  <r>
    <x v="894"/>
    <x v="0"/>
    <x v="1"/>
    <n v="70000"/>
    <x v="1"/>
    <x v="4"/>
    <x v="2"/>
    <x v="0"/>
    <n v="0"/>
    <x v="0"/>
    <x v="2"/>
    <x v="11"/>
    <x v="0"/>
    <x v="1"/>
  </r>
  <r>
    <x v="895"/>
    <x v="0"/>
    <x v="0"/>
    <n v="50000"/>
    <x v="5"/>
    <x v="0"/>
    <x v="4"/>
    <x v="0"/>
    <n v="2"/>
    <x v="3"/>
    <x v="2"/>
    <x v="46"/>
    <x v="1"/>
    <x v="1"/>
  </r>
  <r>
    <x v="896"/>
    <x v="0"/>
    <x v="0"/>
    <n v="50000"/>
    <x v="0"/>
    <x v="0"/>
    <x v="0"/>
    <x v="0"/>
    <n v="0"/>
    <x v="0"/>
    <x v="2"/>
    <x v="17"/>
    <x v="0"/>
    <x v="1"/>
  </r>
  <r>
    <x v="897"/>
    <x v="0"/>
    <x v="1"/>
    <n v="30000"/>
    <x v="3"/>
    <x v="3"/>
    <x v="1"/>
    <x v="1"/>
    <n v="2"/>
    <x v="0"/>
    <x v="2"/>
    <x v="26"/>
    <x v="2"/>
    <x v="0"/>
  </r>
  <r>
    <x v="898"/>
    <x v="1"/>
    <x v="1"/>
    <n v="70000"/>
    <x v="2"/>
    <x v="0"/>
    <x v="4"/>
    <x v="0"/>
    <n v="3"/>
    <x v="4"/>
    <x v="2"/>
    <x v="2"/>
    <x v="1"/>
    <x v="1"/>
  </r>
  <r>
    <x v="899"/>
    <x v="0"/>
    <x v="0"/>
    <n v="70000"/>
    <x v="2"/>
    <x v="4"/>
    <x v="2"/>
    <x v="0"/>
    <n v="3"/>
    <x v="4"/>
    <x v="2"/>
    <x v="30"/>
    <x v="0"/>
    <x v="0"/>
  </r>
  <r>
    <x v="900"/>
    <x v="0"/>
    <x v="1"/>
    <n v="40000"/>
    <x v="5"/>
    <x v="2"/>
    <x v="0"/>
    <x v="0"/>
    <n v="2"/>
    <x v="0"/>
    <x v="2"/>
    <x v="20"/>
    <x v="0"/>
    <x v="1"/>
  </r>
  <r>
    <x v="901"/>
    <x v="1"/>
    <x v="0"/>
    <n v="60000"/>
    <x v="5"/>
    <x v="0"/>
    <x v="0"/>
    <x v="0"/>
    <n v="2"/>
    <x v="1"/>
    <x v="2"/>
    <x v="0"/>
    <x v="0"/>
    <x v="1"/>
  </r>
  <r>
    <x v="902"/>
    <x v="1"/>
    <x v="1"/>
    <n v="80000"/>
    <x v="1"/>
    <x v="0"/>
    <x v="0"/>
    <x v="0"/>
    <n v="0"/>
    <x v="1"/>
    <x v="2"/>
    <x v="8"/>
    <x v="0"/>
    <x v="0"/>
  </r>
  <r>
    <x v="903"/>
    <x v="1"/>
    <x v="1"/>
    <n v="90000"/>
    <x v="5"/>
    <x v="4"/>
    <x v="4"/>
    <x v="0"/>
    <n v="1"/>
    <x v="2"/>
    <x v="2"/>
    <x v="49"/>
    <x v="1"/>
    <x v="0"/>
  </r>
  <r>
    <x v="904"/>
    <x v="1"/>
    <x v="0"/>
    <n v="60000"/>
    <x v="4"/>
    <x v="0"/>
    <x v="0"/>
    <x v="1"/>
    <n v="0"/>
    <x v="0"/>
    <x v="2"/>
    <x v="4"/>
    <x v="0"/>
    <x v="1"/>
  </r>
  <r>
    <x v="905"/>
    <x v="1"/>
    <x v="1"/>
    <n v="90000"/>
    <x v="5"/>
    <x v="0"/>
    <x v="4"/>
    <x v="0"/>
    <n v="1"/>
    <x v="3"/>
    <x v="2"/>
    <x v="13"/>
    <x v="0"/>
    <x v="1"/>
  </r>
  <r>
    <x v="906"/>
    <x v="0"/>
    <x v="1"/>
    <n v="60000"/>
    <x v="0"/>
    <x v="4"/>
    <x v="2"/>
    <x v="0"/>
    <n v="0"/>
    <x v="1"/>
    <x v="2"/>
    <x v="17"/>
    <x v="0"/>
    <x v="1"/>
  </r>
  <r>
    <x v="907"/>
    <x v="0"/>
    <x v="1"/>
    <n v="50000"/>
    <x v="5"/>
    <x v="0"/>
    <x v="4"/>
    <x v="0"/>
    <n v="2"/>
    <x v="4"/>
    <x v="2"/>
    <x v="18"/>
    <x v="1"/>
    <x v="0"/>
  </r>
  <r>
    <x v="908"/>
    <x v="1"/>
    <x v="1"/>
    <n v="50000"/>
    <x v="1"/>
    <x v="0"/>
    <x v="0"/>
    <x v="0"/>
    <n v="2"/>
    <x v="1"/>
    <x v="2"/>
    <x v="3"/>
    <x v="0"/>
    <x v="1"/>
  </r>
  <r>
    <x v="909"/>
    <x v="0"/>
    <x v="1"/>
    <n v="60000"/>
    <x v="3"/>
    <x v="4"/>
    <x v="0"/>
    <x v="0"/>
    <n v="0"/>
    <x v="3"/>
    <x v="2"/>
    <x v="32"/>
    <x v="0"/>
    <x v="1"/>
  </r>
  <r>
    <x v="910"/>
    <x v="0"/>
    <x v="1"/>
    <n v="40000"/>
    <x v="5"/>
    <x v="2"/>
    <x v="0"/>
    <x v="0"/>
    <n v="2"/>
    <x v="1"/>
    <x v="2"/>
    <x v="30"/>
    <x v="0"/>
    <x v="0"/>
  </r>
  <r>
    <x v="911"/>
    <x v="0"/>
    <x v="0"/>
    <n v="80000"/>
    <x v="2"/>
    <x v="0"/>
    <x v="4"/>
    <x v="0"/>
    <n v="2"/>
    <x v="2"/>
    <x v="2"/>
    <x v="46"/>
    <x v="1"/>
    <x v="0"/>
  </r>
  <r>
    <x v="912"/>
    <x v="0"/>
    <x v="0"/>
    <n v="40000"/>
    <x v="1"/>
    <x v="1"/>
    <x v="1"/>
    <x v="0"/>
    <n v="1"/>
    <x v="3"/>
    <x v="2"/>
    <x v="21"/>
    <x v="0"/>
    <x v="0"/>
  </r>
  <r>
    <x v="913"/>
    <x v="1"/>
    <x v="1"/>
    <n v="60000"/>
    <x v="4"/>
    <x v="0"/>
    <x v="0"/>
    <x v="0"/>
    <n v="0"/>
    <x v="1"/>
    <x v="2"/>
    <x v="4"/>
    <x v="0"/>
    <x v="1"/>
  </r>
  <r>
    <x v="914"/>
    <x v="1"/>
    <x v="1"/>
    <n v="80000"/>
    <x v="2"/>
    <x v="4"/>
    <x v="0"/>
    <x v="1"/>
    <n v="0"/>
    <x v="0"/>
    <x v="2"/>
    <x v="15"/>
    <x v="0"/>
    <x v="0"/>
  </r>
  <r>
    <x v="915"/>
    <x v="0"/>
    <x v="1"/>
    <n v="60000"/>
    <x v="1"/>
    <x v="4"/>
    <x v="4"/>
    <x v="0"/>
    <n v="2"/>
    <x v="4"/>
    <x v="2"/>
    <x v="46"/>
    <x v="1"/>
    <x v="0"/>
  </r>
  <r>
    <x v="916"/>
    <x v="1"/>
    <x v="1"/>
    <n v="70000"/>
    <x v="1"/>
    <x v="4"/>
    <x v="2"/>
    <x v="1"/>
    <n v="0"/>
    <x v="0"/>
    <x v="2"/>
    <x v="11"/>
    <x v="0"/>
    <x v="1"/>
  </r>
  <r>
    <x v="917"/>
    <x v="1"/>
    <x v="1"/>
    <n v="110000"/>
    <x v="1"/>
    <x v="0"/>
    <x v="4"/>
    <x v="0"/>
    <n v="4"/>
    <x v="1"/>
    <x v="2"/>
    <x v="8"/>
    <x v="0"/>
    <x v="1"/>
  </r>
  <r>
    <x v="918"/>
    <x v="0"/>
    <x v="0"/>
    <n v="70000"/>
    <x v="3"/>
    <x v="1"/>
    <x v="0"/>
    <x v="0"/>
    <n v="2"/>
    <x v="2"/>
    <x v="2"/>
    <x v="17"/>
    <x v="0"/>
    <x v="1"/>
  </r>
  <r>
    <x v="919"/>
    <x v="0"/>
    <x v="0"/>
    <n v="40000"/>
    <x v="5"/>
    <x v="2"/>
    <x v="2"/>
    <x v="0"/>
    <n v="2"/>
    <x v="4"/>
    <x v="2"/>
    <x v="33"/>
    <x v="1"/>
    <x v="0"/>
  </r>
  <r>
    <x v="920"/>
    <x v="0"/>
    <x v="1"/>
    <n v="30000"/>
    <x v="4"/>
    <x v="2"/>
    <x v="0"/>
    <x v="0"/>
    <n v="2"/>
    <x v="3"/>
    <x v="2"/>
    <x v="36"/>
    <x v="0"/>
    <x v="0"/>
  </r>
  <r>
    <x v="921"/>
    <x v="1"/>
    <x v="0"/>
    <n v="70000"/>
    <x v="1"/>
    <x v="1"/>
    <x v="2"/>
    <x v="0"/>
    <n v="1"/>
    <x v="2"/>
    <x v="2"/>
    <x v="38"/>
    <x v="0"/>
    <x v="1"/>
  </r>
  <r>
    <x v="922"/>
    <x v="0"/>
    <x v="0"/>
    <n v="40000"/>
    <x v="1"/>
    <x v="1"/>
    <x v="2"/>
    <x v="1"/>
    <n v="2"/>
    <x v="3"/>
    <x v="2"/>
    <x v="9"/>
    <x v="0"/>
    <x v="1"/>
  </r>
  <r>
    <x v="923"/>
    <x v="1"/>
    <x v="1"/>
    <n v="70000"/>
    <x v="1"/>
    <x v="4"/>
    <x v="4"/>
    <x v="1"/>
    <n v="2"/>
    <x v="3"/>
    <x v="2"/>
    <x v="39"/>
    <x v="0"/>
    <x v="1"/>
  </r>
  <r>
    <x v="924"/>
    <x v="1"/>
    <x v="1"/>
    <n v="90000"/>
    <x v="4"/>
    <x v="1"/>
    <x v="2"/>
    <x v="0"/>
    <n v="1"/>
    <x v="1"/>
    <x v="2"/>
    <x v="28"/>
    <x v="0"/>
    <x v="1"/>
  </r>
  <r>
    <x v="925"/>
    <x v="1"/>
    <x v="0"/>
    <n v="50000"/>
    <x v="3"/>
    <x v="4"/>
    <x v="0"/>
    <x v="0"/>
    <n v="0"/>
    <x v="3"/>
    <x v="2"/>
    <x v="6"/>
    <x v="0"/>
    <x v="1"/>
  </r>
  <r>
    <x v="926"/>
    <x v="1"/>
    <x v="0"/>
    <n v="40000"/>
    <x v="4"/>
    <x v="2"/>
    <x v="2"/>
    <x v="0"/>
    <n v="2"/>
    <x v="4"/>
    <x v="2"/>
    <x v="42"/>
    <x v="1"/>
    <x v="0"/>
  </r>
  <r>
    <x v="927"/>
    <x v="0"/>
    <x v="0"/>
    <n v="70000"/>
    <x v="3"/>
    <x v="4"/>
    <x v="2"/>
    <x v="0"/>
    <n v="0"/>
    <x v="1"/>
    <x v="2"/>
    <x v="32"/>
    <x v="0"/>
    <x v="0"/>
  </r>
  <r>
    <x v="928"/>
    <x v="0"/>
    <x v="1"/>
    <n v="60000"/>
    <x v="4"/>
    <x v="2"/>
    <x v="2"/>
    <x v="0"/>
    <n v="2"/>
    <x v="2"/>
    <x v="2"/>
    <x v="28"/>
    <x v="0"/>
    <x v="0"/>
  </r>
  <r>
    <x v="929"/>
    <x v="0"/>
    <x v="1"/>
    <n v="60000"/>
    <x v="4"/>
    <x v="2"/>
    <x v="2"/>
    <x v="0"/>
    <n v="2"/>
    <x v="2"/>
    <x v="2"/>
    <x v="5"/>
    <x v="0"/>
    <x v="0"/>
  </r>
  <r>
    <x v="930"/>
    <x v="0"/>
    <x v="1"/>
    <n v="70000"/>
    <x v="2"/>
    <x v="4"/>
    <x v="2"/>
    <x v="1"/>
    <n v="3"/>
    <x v="4"/>
    <x v="2"/>
    <x v="15"/>
    <x v="0"/>
    <x v="0"/>
  </r>
  <r>
    <x v="931"/>
    <x v="0"/>
    <x v="0"/>
    <n v="40000"/>
    <x v="0"/>
    <x v="1"/>
    <x v="1"/>
    <x v="0"/>
    <n v="1"/>
    <x v="3"/>
    <x v="2"/>
    <x v="38"/>
    <x v="0"/>
    <x v="1"/>
  </r>
  <r>
    <x v="932"/>
    <x v="1"/>
    <x v="0"/>
    <n v="40000"/>
    <x v="3"/>
    <x v="2"/>
    <x v="0"/>
    <x v="1"/>
    <n v="2"/>
    <x v="0"/>
    <x v="2"/>
    <x v="40"/>
    <x v="2"/>
    <x v="1"/>
  </r>
  <r>
    <x v="933"/>
    <x v="1"/>
    <x v="1"/>
    <n v="60000"/>
    <x v="3"/>
    <x v="1"/>
    <x v="0"/>
    <x v="0"/>
    <n v="0"/>
    <x v="2"/>
    <x v="2"/>
    <x v="19"/>
    <x v="2"/>
    <x v="0"/>
  </r>
  <r>
    <x v="934"/>
    <x v="0"/>
    <x v="1"/>
    <n v="60000"/>
    <x v="4"/>
    <x v="0"/>
    <x v="4"/>
    <x v="0"/>
    <n v="0"/>
    <x v="1"/>
    <x v="2"/>
    <x v="14"/>
    <x v="1"/>
    <x v="0"/>
  </r>
  <r>
    <x v="935"/>
    <x v="0"/>
    <x v="0"/>
    <n v="60000"/>
    <x v="0"/>
    <x v="1"/>
    <x v="0"/>
    <x v="0"/>
    <n v="1"/>
    <x v="0"/>
    <x v="2"/>
    <x v="12"/>
    <x v="0"/>
    <x v="1"/>
  </r>
  <r>
    <x v="936"/>
    <x v="0"/>
    <x v="0"/>
    <n v="60000"/>
    <x v="5"/>
    <x v="0"/>
    <x v="4"/>
    <x v="0"/>
    <n v="2"/>
    <x v="1"/>
    <x v="2"/>
    <x v="2"/>
    <x v="1"/>
    <x v="0"/>
  </r>
  <r>
    <x v="937"/>
    <x v="0"/>
    <x v="1"/>
    <n v="70000"/>
    <x v="5"/>
    <x v="4"/>
    <x v="2"/>
    <x v="0"/>
    <n v="0"/>
    <x v="0"/>
    <x v="2"/>
    <x v="4"/>
    <x v="0"/>
    <x v="1"/>
  </r>
  <r>
    <x v="938"/>
    <x v="0"/>
    <x v="0"/>
    <n v="40000"/>
    <x v="3"/>
    <x v="2"/>
    <x v="0"/>
    <x v="0"/>
    <n v="2"/>
    <x v="2"/>
    <x v="2"/>
    <x v="40"/>
    <x v="2"/>
    <x v="0"/>
  </r>
  <r>
    <x v="939"/>
    <x v="1"/>
    <x v="1"/>
    <n v="80000"/>
    <x v="4"/>
    <x v="3"/>
    <x v="0"/>
    <x v="1"/>
    <n v="2"/>
    <x v="3"/>
    <x v="2"/>
    <x v="5"/>
    <x v="0"/>
    <x v="0"/>
  </r>
  <r>
    <x v="940"/>
    <x v="1"/>
    <x v="0"/>
    <n v="60000"/>
    <x v="0"/>
    <x v="4"/>
    <x v="0"/>
    <x v="0"/>
    <n v="0"/>
    <x v="3"/>
    <x v="2"/>
    <x v="11"/>
    <x v="0"/>
    <x v="0"/>
  </r>
  <r>
    <x v="941"/>
    <x v="0"/>
    <x v="0"/>
    <n v="60000"/>
    <x v="0"/>
    <x v="4"/>
    <x v="0"/>
    <x v="0"/>
    <n v="0"/>
    <x v="1"/>
    <x v="2"/>
    <x v="17"/>
    <x v="0"/>
    <x v="1"/>
  </r>
  <r>
    <x v="942"/>
    <x v="0"/>
    <x v="0"/>
    <n v="40000"/>
    <x v="1"/>
    <x v="1"/>
    <x v="2"/>
    <x v="0"/>
    <n v="2"/>
    <x v="2"/>
    <x v="2"/>
    <x v="9"/>
    <x v="0"/>
    <x v="0"/>
  </r>
  <r>
    <x v="943"/>
    <x v="0"/>
    <x v="0"/>
    <n v="60000"/>
    <x v="5"/>
    <x v="0"/>
    <x v="0"/>
    <x v="1"/>
    <n v="2"/>
    <x v="0"/>
    <x v="2"/>
    <x v="0"/>
    <x v="0"/>
    <x v="0"/>
  </r>
  <r>
    <x v="944"/>
    <x v="0"/>
    <x v="0"/>
    <n v="50000"/>
    <x v="0"/>
    <x v="0"/>
    <x v="0"/>
    <x v="0"/>
    <n v="0"/>
    <x v="1"/>
    <x v="2"/>
    <x v="17"/>
    <x v="0"/>
    <x v="1"/>
  </r>
  <r>
    <x v="945"/>
    <x v="1"/>
    <x v="1"/>
    <n v="50000"/>
    <x v="4"/>
    <x v="0"/>
    <x v="0"/>
    <x v="1"/>
    <n v="1"/>
    <x v="0"/>
    <x v="2"/>
    <x v="13"/>
    <x v="0"/>
    <x v="1"/>
  </r>
  <r>
    <x v="946"/>
    <x v="0"/>
    <x v="0"/>
    <n v="90000"/>
    <x v="2"/>
    <x v="0"/>
    <x v="4"/>
    <x v="0"/>
    <n v="2"/>
    <x v="3"/>
    <x v="2"/>
    <x v="18"/>
    <x v="1"/>
    <x v="1"/>
  </r>
  <r>
    <x v="947"/>
    <x v="1"/>
    <x v="0"/>
    <n v="90000"/>
    <x v="5"/>
    <x v="2"/>
    <x v="2"/>
    <x v="1"/>
    <n v="3"/>
    <x v="3"/>
    <x v="2"/>
    <x v="12"/>
    <x v="0"/>
    <x v="1"/>
  </r>
  <r>
    <x v="948"/>
    <x v="1"/>
    <x v="0"/>
    <n v="60000"/>
    <x v="3"/>
    <x v="4"/>
    <x v="0"/>
    <x v="1"/>
    <n v="0"/>
    <x v="0"/>
    <x v="2"/>
    <x v="8"/>
    <x v="0"/>
    <x v="0"/>
  </r>
  <r>
    <x v="949"/>
    <x v="0"/>
    <x v="1"/>
    <n v="70000"/>
    <x v="4"/>
    <x v="3"/>
    <x v="0"/>
    <x v="0"/>
    <n v="2"/>
    <x v="4"/>
    <x v="2"/>
    <x v="39"/>
    <x v="0"/>
    <x v="0"/>
  </r>
  <r>
    <x v="950"/>
    <x v="1"/>
    <x v="0"/>
    <n v="70000"/>
    <x v="0"/>
    <x v="4"/>
    <x v="2"/>
    <x v="0"/>
    <n v="0"/>
    <x v="1"/>
    <x v="2"/>
    <x v="17"/>
    <x v="0"/>
    <x v="0"/>
  </r>
  <r>
    <x v="951"/>
    <x v="0"/>
    <x v="1"/>
    <n v="70000"/>
    <x v="3"/>
    <x v="0"/>
    <x v="2"/>
    <x v="1"/>
    <n v="1"/>
    <x v="0"/>
    <x v="2"/>
    <x v="13"/>
    <x v="0"/>
    <x v="0"/>
  </r>
  <r>
    <x v="952"/>
    <x v="0"/>
    <x v="0"/>
    <n v="70000"/>
    <x v="5"/>
    <x v="0"/>
    <x v="4"/>
    <x v="1"/>
    <n v="1"/>
    <x v="3"/>
    <x v="2"/>
    <x v="14"/>
    <x v="1"/>
    <x v="0"/>
  </r>
  <r>
    <x v="953"/>
    <x v="1"/>
    <x v="0"/>
    <n v="40000"/>
    <x v="1"/>
    <x v="1"/>
    <x v="1"/>
    <x v="0"/>
    <n v="1"/>
    <x v="3"/>
    <x v="2"/>
    <x v="25"/>
    <x v="2"/>
    <x v="1"/>
  </r>
  <r>
    <x v="954"/>
    <x v="0"/>
    <x v="1"/>
    <n v="60000"/>
    <x v="0"/>
    <x v="0"/>
    <x v="2"/>
    <x v="0"/>
    <n v="1"/>
    <x v="0"/>
    <x v="2"/>
    <x v="28"/>
    <x v="0"/>
    <x v="1"/>
  </r>
  <r>
    <x v="955"/>
    <x v="0"/>
    <x v="0"/>
    <n v="40000"/>
    <x v="5"/>
    <x v="2"/>
    <x v="0"/>
    <x v="0"/>
    <n v="2"/>
    <x v="1"/>
    <x v="2"/>
    <x v="1"/>
    <x v="0"/>
    <x v="0"/>
  </r>
  <r>
    <x v="956"/>
    <x v="0"/>
    <x v="0"/>
    <n v="70000"/>
    <x v="5"/>
    <x v="4"/>
    <x v="2"/>
    <x v="0"/>
    <n v="0"/>
    <x v="1"/>
    <x v="2"/>
    <x v="11"/>
    <x v="0"/>
    <x v="1"/>
  </r>
  <r>
    <x v="957"/>
    <x v="0"/>
    <x v="0"/>
    <n v="60000"/>
    <x v="3"/>
    <x v="1"/>
    <x v="2"/>
    <x v="0"/>
    <n v="2"/>
    <x v="2"/>
    <x v="2"/>
    <x v="25"/>
    <x v="2"/>
    <x v="0"/>
  </r>
  <r>
    <x v="958"/>
    <x v="0"/>
    <x v="1"/>
    <n v="90000"/>
    <x v="2"/>
    <x v="4"/>
    <x v="2"/>
    <x v="0"/>
    <n v="0"/>
    <x v="0"/>
    <x v="2"/>
    <x v="15"/>
    <x v="0"/>
    <x v="1"/>
  </r>
  <r>
    <x v="959"/>
    <x v="0"/>
    <x v="1"/>
    <n v="60000"/>
    <x v="0"/>
    <x v="1"/>
    <x v="0"/>
    <x v="0"/>
    <n v="1"/>
    <x v="1"/>
    <x v="2"/>
    <x v="12"/>
    <x v="0"/>
    <x v="1"/>
  </r>
  <r>
    <x v="960"/>
    <x v="1"/>
    <x v="1"/>
    <n v="100000"/>
    <x v="3"/>
    <x v="1"/>
    <x v="2"/>
    <x v="1"/>
    <n v="4"/>
    <x v="3"/>
    <x v="2"/>
    <x v="12"/>
    <x v="0"/>
    <x v="0"/>
  </r>
  <r>
    <x v="961"/>
    <x v="0"/>
    <x v="0"/>
    <n v="120000"/>
    <x v="4"/>
    <x v="0"/>
    <x v="4"/>
    <x v="0"/>
    <n v="3"/>
    <x v="2"/>
    <x v="2"/>
    <x v="24"/>
    <x v="1"/>
    <x v="0"/>
  </r>
  <r>
    <x v="962"/>
    <x v="0"/>
    <x v="1"/>
    <n v="60000"/>
    <x v="4"/>
    <x v="1"/>
    <x v="2"/>
    <x v="0"/>
    <n v="2"/>
    <x v="4"/>
    <x v="2"/>
    <x v="10"/>
    <x v="0"/>
    <x v="0"/>
  </r>
  <r>
    <x v="963"/>
    <x v="0"/>
    <x v="0"/>
    <n v="90000"/>
    <x v="2"/>
    <x v="0"/>
    <x v="4"/>
    <x v="0"/>
    <n v="2"/>
    <x v="3"/>
    <x v="2"/>
    <x v="29"/>
    <x v="1"/>
    <x v="1"/>
  </r>
  <r>
    <x v="964"/>
    <x v="1"/>
    <x v="1"/>
    <n v="70000"/>
    <x v="5"/>
    <x v="1"/>
    <x v="2"/>
    <x v="0"/>
    <n v="1"/>
    <x v="4"/>
    <x v="2"/>
    <x v="16"/>
    <x v="1"/>
    <x v="0"/>
  </r>
  <r>
    <x v="965"/>
    <x v="1"/>
    <x v="0"/>
    <n v="50000"/>
    <x v="1"/>
    <x v="0"/>
    <x v="0"/>
    <x v="1"/>
    <n v="1"/>
    <x v="0"/>
    <x v="2"/>
    <x v="8"/>
    <x v="0"/>
    <x v="0"/>
  </r>
  <r>
    <x v="966"/>
    <x v="0"/>
    <x v="0"/>
    <n v="50000"/>
    <x v="3"/>
    <x v="4"/>
    <x v="0"/>
    <x v="0"/>
    <n v="0"/>
    <x v="3"/>
    <x v="2"/>
    <x v="6"/>
    <x v="0"/>
    <x v="1"/>
  </r>
  <r>
    <x v="967"/>
    <x v="0"/>
    <x v="1"/>
    <n v="80000"/>
    <x v="1"/>
    <x v="0"/>
    <x v="4"/>
    <x v="0"/>
    <n v="1"/>
    <x v="3"/>
    <x v="2"/>
    <x v="16"/>
    <x v="1"/>
    <x v="0"/>
  </r>
  <r>
    <x v="968"/>
    <x v="1"/>
    <x v="1"/>
    <n v="30000"/>
    <x v="3"/>
    <x v="3"/>
    <x v="1"/>
    <x v="1"/>
    <n v="2"/>
    <x v="2"/>
    <x v="2"/>
    <x v="40"/>
    <x v="2"/>
    <x v="0"/>
  </r>
  <r>
    <x v="969"/>
    <x v="0"/>
    <x v="1"/>
    <n v="60000"/>
    <x v="3"/>
    <x v="4"/>
    <x v="2"/>
    <x v="1"/>
    <n v="0"/>
    <x v="0"/>
    <x v="2"/>
    <x v="32"/>
    <x v="0"/>
    <x v="0"/>
  </r>
  <r>
    <x v="970"/>
    <x v="0"/>
    <x v="0"/>
    <n v="60000"/>
    <x v="3"/>
    <x v="1"/>
    <x v="0"/>
    <x v="0"/>
    <n v="2"/>
    <x v="2"/>
    <x v="2"/>
    <x v="23"/>
    <x v="0"/>
    <x v="0"/>
  </r>
  <r>
    <x v="971"/>
    <x v="1"/>
    <x v="0"/>
    <n v="60000"/>
    <x v="4"/>
    <x v="3"/>
    <x v="0"/>
    <x v="1"/>
    <n v="2"/>
    <x v="3"/>
    <x v="2"/>
    <x v="36"/>
    <x v="0"/>
    <x v="0"/>
  </r>
  <r>
    <x v="972"/>
    <x v="0"/>
    <x v="0"/>
    <n v="30000"/>
    <x v="0"/>
    <x v="2"/>
    <x v="1"/>
    <x v="0"/>
    <n v="1"/>
    <x v="2"/>
    <x v="2"/>
    <x v="31"/>
    <x v="0"/>
    <x v="0"/>
  </r>
  <r>
    <x v="973"/>
    <x v="0"/>
    <x v="1"/>
    <n v="60000"/>
    <x v="0"/>
    <x v="1"/>
    <x v="0"/>
    <x v="1"/>
    <n v="1"/>
    <x v="0"/>
    <x v="2"/>
    <x v="15"/>
    <x v="0"/>
    <x v="0"/>
  </r>
  <r>
    <x v="974"/>
    <x v="0"/>
    <x v="1"/>
    <n v="70000"/>
    <x v="1"/>
    <x v="4"/>
    <x v="4"/>
    <x v="0"/>
    <n v="2"/>
    <x v="2"/>
    <x v="2"/>
    <x v="39"/>
    <x v="0"/>
    <x v="1"/>
  </r>
  <r>
    <x v="975"/>
    <x v="0"/>
    <x v="1"/>
    <n v="70000"/>
    <x v="1"/>
    <x v="4"/>
    <x v="2"/>
    <x v="0"/>
    <n v="0"/>
    <x v="0"/>
    <x v="2"/>
    <x v="11"/>
    <x v="0"/>
    <x v="1"/>
  </r>
  <r>
    <x v="976"/>
    <x v="0"/>
    <x v="0"/>
    <n v="60000"/>
    <x v="1"/>
    <x v="0"/>
    <x v="4"/>
    <x v="0"/>
    <n v="2"/>
    <x v="4"/>
    <x v="2"/>
    <x v="29"/>
    <x v="1"/>
    <x v="0"/>
  </r>
  <r>
    <x v="977"/>
    <x v="1"/>
    <x v="0"/>
    <n v="80000"/>
    <x v="5"/>
    <x v="4"/>
    <x v="4"/>
    <x v="0"/>
    <n v="2"/>
    <x v="2"/>
    <x v="2"/>
    <x v="27"/>
    <x v="1"/>
    <x v="0"/>
  </r>
  <r>
    <x v="978"/>
    <x v="0"/>
    <x v="1"/>
    <n v="80000"/>
    <x v="2"/>
    <x v="1"/>
    <x v="2"/>
    <x v="0"/>
    <n v="3"/>
    <x v="2"/>
    <x v="2"/>
    <x v="12"/>
    <x v="0"/>
    <x v="0"/>
  </r>
  <r>
    <x v="979"/>
    <x v="1"/>
    <x v="1"/>
    <n v="40000"/>
    <x v="3"/>
    <x v="2"/>
    <x v="0"/>
    <x v="0"/>
    <n v="1"/>
    <x v="2"/>
    <x v="2"/>
    <x v="23"/>
    <x v="0"/>
    <x v="0"/>
  </r>
  <r>
    <x v="980"/>
    <x v="1"/>
    <x v="0"/>
    <n v="80000"/>
    <x v="1"/>
    <x v="0"/>
    <x v="0"/>
    <x v="0"/>
    <n v="3"/>
    <x v="4"/>
    <x v="2"/>
    <x v="8"/>
    <x v="0"/>
    <x v="1"/>
  </r>
  <r>
    <x v="981"/>
    <x v="0"/>
    <x v="1"/>
    <n v="110000"/>
    <x v="2"/>
    <x v="1"/>
    <x v="2"/>
    <x v="0"/>
    <n v="4"/>
    <x v="1"/>
    <x v="2"/>
    <x v="30"/>
    <x v="0"/>
    <x v="0"/>
  </r>
  <r>
    <x v="982"/>
    <x v="1"/>
    <x v="1"/>
    <n v="40000"/>
    <x v="4"/>
    <x v="1"/>
    <x v="1"/>
    <x v="1"/>
    <n v="1"/>
    <x v="3"/>
    <x v="2"/>
    <x v="15"/>
    <x v="0"/>
    <x v="1"/>
  </r>
  <r>
    <x v="983"/>
    <x v="0"/>
    <x v="1"/>
    <n v="130000"/>
    <x v="4"/>
    <x v="4"/>
    <x v="4"/>
    <x v="0"/>
    <n v="2"/>
    <x v="0"/>
    <x v="2"/>
    <x v="3"/>
    <x v="0"/>
    <x v="0"/>
  </r>
  <r>
    <x v="984"/>
    <x v="0"/>
    <x v="1"/>
    <n v="60000"/>
    <x v="4"/>
    <x v="2"/>
    <x v="2"/>
    <x v="1"/>
    <n v="2"/>
    <x v="3"/>
    <x v="2"/>
    <x v="28"/>
    <x v="0"/>
    <x v="1"/>
  </r>
  <r>
    <x v="985"/>
    <x v="1"/>
    <x v="0"/>
    <n v="50000"/>
    <x v="5"/>
    <x v="0"/>
    <x v="0"/>
    <x v="0"/>
    <n v="2"/>
    <x v="0"/>
    <x v="2"/>
    <x v="0"/>
    <x v="0"/>
    <x v="0"/>
  </r>
  <r>
    <x v="986"/>
    <x v="1"/>
    <x v="1"/>
    <n v="40000"/>
    <x v="2"/>
    <x v="2"/>
    <x v="2"/>
    <x v="0"/>
    <n v="4"/>
    <x v="4"/>
    <x v="2"/>
    <x v="2"/>
    <x v="1"/>
    <x v="1"/>
  </r>
  <r>
    <x v="987"/>
    <x v="1"/>
    <x v="0"/>
    <n v="60000"/>
    <x v="1"/>
    <x v="4"/>
    <x v="4"/>
    <x v="0"/>
    <n v="2"/>
    <x v="4"/>
    <x v="2"/>
    <x v="29"/>
    <x v="1"/>
    <x v="0"/>
  </r>
  <r>
    <x v="988"/>
    <x v="0"/>
    <x v="1"/>
    <n v="70000"/>
    <x v="2"/>
    <x v="0"/>
    <x v="4"/>
    <x v="0"/>
    <n v="2"/>
    <x v="4"/>
    <x v="2"/>
    <x v="18"/>
    <x v="1"/>
    <x v="0"/>
  </r>
  <r>
    <x v="989"/>
    <x v="0"/>
    <x v="1"/>
    <n v="60000"/>
    <x v="5"/>
    <x v="0"/>
    <x v="0"/>
    <x v="1"/>
    <n v="3"/>
    <x v="4"/>
    <x v="2"/>
    <x v="0"/>
    <x v="0"/>
    <x v="0"/>
  </r>
  <r>
    <x v="990"/>
    <x v="1"/>
    <x v="0"/>
    <n v="30000"/>
    <x v="3"/>
    <x v="2"/>
    <x v="0"/>
    <x v="1"/>
    <n v="2"/>
    <x v="2"/>
    <x v="2"/>
    <x v="22"/>
    <x v="2"/>
    <x v="0"/>
  </r>
  <r>
    <x v="991"/>
    <x v="1"/>
    <x v="0"/>
    <n v="60000"/>
    <x v="0"/>
    <x v="4"/>
    <x v="2"/>
    <x v="0"/>
    <n v="0"/>
    <x v="1"/>
    <x v="2"/>
    <x v="4"/>
    <x v="0"/>
    <x v="1"/>
  </r>
  <r>
    <x v="992"/>
    <x v="0"/>
    <x v="1"/>
    <n v="90000"/>
    <x v="4"/>
    <x v="1"/>
    <x v="2"/>
    <x v="1"/>
    <n v="0"/>
    <x v="2"/>
    <x v="2"/>
    <x v="38"/>
    <x v="0"/>
    <x v="1"/>
  </r>
  <r>
    <x v="993"/>
    <x v="1"/>
    <x v="1"/>
    <n v="150000"/>
    <x v="0"/>
    <x v="1"/>
    <x v="2"/>
    <x v="1"/>
    <n v="3"/>
    <x v="0"/>
    <x v="2"/>
    <x v="20"/>
    <x v="0"/>
    <x v="1"/>
  </r>
  <r>
    <x v="994"/>
    <x v="0"/>
    <x v="1"/>
    <n v="80000"/>
    <x v="2"/>
    <x v="1"/>
    <x v="2"/>
    <x v="0"/>
    <n v="3"/>
    <x v="3"/>
    <x v="2"/>
    <x v="30"/>
    <x v="0"/>
    <x v="0"/>
  </r>
  <r>
    <x v="995"/>
    <x v="0"/>
    <x v="1"/>
    <n v="60000"/>
    <x v="4"/>
    <x v="2"/>
    <x v="2"/>
    <x v="0"/>
    <n v="2"/>
    <x v="1"/>
    <x v="2"/>
    <x v="9"/>
    <x v="0"/>
    <x v="1"/>
  </r>
  <r>
    <x v="996"/>
    <x v="1"/>
    <x v="1"/>
    <n v="70000"/>
    <x v="5"/>
    <x v="4"/>
    <x v="2"/>
    <x v="0"/>
    <n v="0"/>
    <x v="1"/>
    <x v="2"/>
    <x v="11"/>
    <x v="0"/>
    <x v="1"/>
  </r>
  <r>
    <x v="997"/>
    <x v="0"/>
    <x v="1"/>
    <n v="60000"/>
    <x v="4"/>
    <x v="0"/>
    <x v="0"/>
    <x v="0"/>
    <n v="0"/>
    <x v="0"/>
    <x v="2"/>
    <x v="13"/>
    <x v="0"/>
    <x v="1"/>
  </r>
  <r>
    <x v="998"/>
    <x v="1"/>
    <x v="1"/>
    <n v="100000"/>
    <x v="1"/>
    <x v="0"/>
    <x v="4"/>
    <x v="1"/>
    <n v="3"/>
    <x v="3"/>
    <x v="2"/>
    <x v="13"/>
    <x v="0"/>
    <x v="0"/>
  </r>
  <r>
    <x v="999"/>
    <x v="1"/>
    <x v="1"/>
    <n v="60000"/>
    <x v="1"/>
    <x v="2"/>
    <x v="2"/>
    <x v="0"/>
    <n v="2"/>
    <x v="4"/>
    <x v="2"/>
    <x v="39"/>
    <x v="0"/>
    <x v="1"/>
  </r>
  <r>
    <x v="5"/>
    <x v="0"/>
    <x v="0"/>
    <n v="10000"/>
    <x v="4"/>
    <x v="1"/>
    <x v="3"/>
    <x v="0"/>
    <n v="0"/>
    <x v="3"/>
    <x v="0"/>
    <x v="5"/>
    <x v="0"/>
    <x v="0"/>
  </r>
  <r>
    <x v="9"/>
    <x v="0"/>
    <x v="1"/>
    <n v="120000"/>
    <x v="4"/>
    <x v="1"/>
    <x v="3"/>
    <x v="0"/>
    <n v="1"/>
    <x v="0"/>
    <x v="0"/>
    <x v="8"/>
    <x v="0"/>
    <x v="1"/>
  </r>
  <r>
    <x v="10"/>
    <x v="0"/>
    <x v="0"/>
    <n v="30000"/>
    <x v="1"/>
    <x v="2"/>
    <x v="0"/>
    <x v="1"/>
    <n v="2"/>
    <x v="3"/>
    <x v="1"/>
    <x v="9"/>
    <x v="0"/>
    <x v="1"/>
  </r>
  <r>
    <x v="11"/>
    <x v="1"/>
    <x v="0"/>
    <n v="90000"/>
    <x v="3"/>
    <x v="0"/>
    <x v="2"/>
    <x v="1"/>
    <n v="4"/>
    <x v="4"/>
    <x v="1"/>
    <x v="4"/>
    <x v="0"/>
    <x v="0"/>
  </r>
  <r>
    <x v="12"/>
    <x v="0"/>
    <x v="1"/>
    <n v="170000"/>
    <x v="2"/>
    <x v="1"/>
    <x v="2"/>
    <x v="0"/>
    <n v="0"/>
    <x v="0"/>
    <x v="0"/>
    <x v="10"/>
    <x v="0"/>
    <x v="0"/>
  </r>
  <r>
    <x v="13"/>
    <x v="0"/>
    <x v="1"/>
    <n v="40000"/>
    <x v="4"/>
    <x v="1"/>
    <x v="1"/>
    <x v="0"/>
    <n v="1"/>
    <x v="3"/>
    <x v="0"/>
    <x v="11"/>
    <x v="0"/>
    <x v="1"/>
  </r>
  <r>
    <x v="14"/>
    <x v="1"/>
    <x v="1"/>
    <n v="60000"/>
    <x v="0"/>
    <x v="1"/>
    <x v="0"/>
    <x v="1"/>
    <n v="1"/>
    <x v="0"/>
    <x v="1"/>
    <x v="12"/>
    <x v="0"/>
    <x v="1"/>
  </r>
  <r>
    <x v="15"/>
    <x v="1"/>
    <x v="0"/>
    <n v="10000"/>
    <x v="4"/>
    <x v="2"/>
    <x v="3"/>
    <x v="0"/>
    <n v="1"/>
    <x v="0"/>
    <x v="0"/>
    <x v="13"/>
    <x v="0"/>
    <x v="1"/>
  </r>
  <r>
    <x v="16"/>
    <x v="1"/>
    <x v="1"/>
    <n v="30000"/>
    <x v="1"/>
    <x v="1"/>
    <x v="1"/>
    <x v="1"/>
    <n v="2"/>
    <x v="3"/>
    <x v="1"/>
    <x v="14"/>
    <x v="1"/>
    <x v="1"/>
  </r>
  <r>
    <x v="17"/>
    <x v="0"/>
    <x v="0"/>
    <n v="30000"/>
    <x v="0"/>
    <x v="0"/>
    <x v="1"/>
    <x v="0"/>
    <n v="0"/>
    <x v="0"/>
    <x v="0"/>
    <x v="15"/>
    <x v="0"/>
    <x v="0"/>
  </r>
  <r>
    <x v="18"/>
    <x v="1"/>
    <x v="1"/>
    <n v="40000"/>
    <x v="4"/>
    <x v="1"/>
    <x v="1"/>
    <x v="0"/>
    <n v="1"/>
    <x v="3"/>
    <x v="0"/>
    <x v="11"/>
    <x v="0"/>
    <x v="1"/>
  </r>
  <r>
    <x v="19"/>
    <x v="1"/>
    <x v="1"/>
    <n v="20000"/>
    <x v="4"/>
    <x v="3"/>
    <x v="1"/>
    <x v="0"/>
    <n v="2"/>
    <x v="2"/>
    <x v="1"/>
    <x v="10"/>
    <x v="0"/>
    <x v="1"/>
  </r>
  <r>
    <x v="20"/>
    <x v="0"/>
    <x v="0"/>
    <n v="40000"/>
    <x v="3"/>
    <x v="4"/>
    <x v="1"/>
    <x v="0"/>
    <n v="0"/>
    <x v="0"/>
    <x v="0"/>
    <x v="4"/>
    <x v="0"/>
    <x v="1"/>
  </r>
  <r>
    <x v="21"/>
    <x v="1"/>
    <x v="0"/>
    <n v="80000"/>
    <x v="3"/>
    <x v="0"/>
    <x v="2"/>
    <x v="0"/>
    <n v="4"/>
    <x v="4"/>
    <x v="1"/>
    <x v="11"/>
    <x v="0"/>
    <x v="0"/>
  </r>
  <r>
    <x v="22"/>
    <x v="1"/>
    <x v="1"/>
    <n v="40000"/>
    <x v="4"/>
    <x v="1"/>
    <x v="1"/>
    <x v="0"/>
    <n v="0"/>
    <x v="3"/>
    <x v="0"/>
    <x v="11"/>
    <x v="0"/>
    <x v="1"/>
  </r>
  <r>
    <x v="23"/>
    <x v="0"/>
    <x v="0"/>
    <n v="80000"/>
    <x v="2"/>
    <x v="2"/>
    <x v="4"/>
    <x v="1"/>
    <n v="3"/>
    <x v="2"/>
    <x v="0"/>
    <x v="16"/>
    <x v="1"/>
    <x v="0"/>
  </r>
  <r>
    <x v="24"/>
    <x v="1"/>
    <x v="1"/>
    <n v="40000"/>
    <x v="4"/>
    <x v="1"/>
    <x v="1"/>
    <x v="1"/>
    <n v="1"/>
    <x v="0"/>
    <x v="0"/>
    <x v="17"/>
    <x v="0"/>
    <x v="0"/>
  </r>
  <r>
    <x v="25"/>
    <x v="1"/>
    <x v="1"/>
    <n v="30000"/>
    <x v="0"/>
    <x v="0"/>
    <x v="1"/>
    <x v="0"/>
    <n v="0"/>
    <x v="0"/>
    <x v="0"/>
    <x v="18"/>
    <x v="1"/>
    <x v="0"/>
  </r>
  <r>
    <x v="26"/>
    <x v="1"/>
    <x v="1"/>
    <n v="30000"/>
    <x v="3"/>
    <x v="1"/>
    <x v="1"/>
    <x v="1"/>
    <n v="1"/>
    <x v="0"/>
    <x v="0"/>
    <x v="19"/>
    <x v="2"/>
    <x v="1"/>
  </r>
  <r>
    <x v="27"/>
    <x v="1"/>
    <x v="0"/>
    <n v="100000"/>
    <x v="3"/>
    <x v="0"/>
    <x v="2"/>
    <x v="1"/>
    <n v="1"/>
    <x v="2"/>
    <x v="1"/>
    <x v="8"/>
    <x v="0"/>
    <x v="0"/>
  </r>
  <r>
    <x v="28"/>
    <x v="0"/>
    <x v="1"/>
    <n v="70000"/>
    <x v="2"/>
    <x v="1"/>
    <x v="0"/>
    <x v="0"/>
    <n v="2"/>
    <x v="2"/>
    <x v="1"/>
    <x v="20"/>
    <x v="0"/>
    <x v="0"/>
  </r>
  <r>
    <x v="29"/>
    <x v="1"/>
    <x v="0"/>
    <n v="20000"/>
    <x v="3"/>
    <x v="3"/>
    <x v="3"/>
    <x v="1"/>
    <n v="2"/>
    <x v="0"/>
    <x v="0"/>
    <x v="21"/>
    <x v="0"/>
    <x v="1"/>
  </r>
  <r>
    <x v="30"/>
    <x v="0"/>
    <x v="0"/>
    <n v="20000"/>
    <x v="4"/>
    <x v="1"/>
    <x v="3"/>
    <x v="0"/>
    <n v="0"/>
    <x v="0"/>
    <x v="0"/>
    <x v="18"/>
    <x v="1"/>
    <x v="0"/>
  </r>
  <r>
    <x v="31"/>
    <x v="0"/>
    <x v="1"/>
    <n v="10000"/>
    <x v="3"/>
    <x v="1"/>
    <x v="3"/>
    <x v="1"/>
    <n v="1"/>
    <x v="0"/>
    <x v="1"/>
    <x v="22"/>
    <x v="2"/>
    <x v="1"/>
  </r>
  <r>
    <x v="32"/>
    <x v="1"/>
    <x v="0"/>
    <n v="20000"/>
    <x v="3"/>
    <x v="2"/>
    <x v="3"/>
    <x v="1"/>
    <n v="1"/>
    <x v="2"/>
    <x v="0"/>
    <x v="23"/>
    <x v="0"/>
    <x v="0"/>
  </r>
  <r>
    <x v="33"/>
    <x v="1"/>
    <x v="1"/>
    <n v="80000"/>
    <x v="4"/>
    <x v="2"/>
    <x v="0"/>
    <x v="1"/>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B828AB-4F21-4176-B089-B047BEC2333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2:C48" firstHeaderRow="1" firstDataRow="1" firstDataCol="1"/>
  <pivotFields count="14">
    <pivotField showAll="0"/>
    <pivotField showAll="0"/>
    <pivotField showAll="0">
      <items count="3">
        <item x="0"/>
        <item x="1"/>
        <item t="default"/>
      </items>
    </pivotField>
    <pivotField dataField="1" numFmtId="165"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items count="10">
        <item x="0"/>
        <item x="1"/>
        <item x="2"/>
        <item x="3"/>
        <item x="4"/>
        <item x="5"/>
        <item x="6"/>
        <item x="7"/>
        <item x="8"/>
        <item t="default"/>
      </items>
    </pivotField>
    <pivotField showAll="0"/>
    <pivotField showAll="0"/>
  </pivotFields>
  <rowFields count="1">
    <field x="6"/>
  </rowFields>
  <rowItems count="6">
    <i>
      <x/>
    </i>
    <i>
      <x v="1"/>
    </i>
    <i>
      <x v="2"/>
    </i>
    <i>
      <x v="3"/>
    </i>
    <i>
      <x v="4"/>
    </i>
    <i t="grand">
      <x/>
    </i>
  </rowItems>
  <colItems count="1">
    <i/>
  </colItems>
  <dataFields count="1">
    <dataField name="Average of Income" fld="3" subtotal="average" baseField="6" baseItem="0" numFmtId="165"/>
  </dataField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219848-881C-4BAE-990B-26DC85F5E28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25:E32" firstHeaderRow="1" firstDataRow="2" firstDataCol="1"/>
  <pivotFields count="14">
    <pivotField dataField="1"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8">
        <item x="0"/>
        <item m="1" x="5"/>
        <item m="1" x="6"/>
        <item x="3"/>
        <item x="1"/>
        <item x="2"/>
        <item x="4"/>
        <item t="default"/>
      </items>
    </pivotField>
    <pivotField showAll="0">
      <items count="4">
        <item x="0"/>
        <item x="2"/>
        <item x="1"/>
        <item t="default"/>
      </items>
    </pivotField>
    <pivotField showAll="0">
      <items count="10">
        <item x="0"/>
        <item x="1"/>
        <item x="2"/>
        <item x="3"/>
        <item x="4"/>
        <item x="5"/>
        <item x="6"/>
        <item x="7"/>
        <item x="8"/>
        <item t="default"/>
      </items>
    </pivotField>
    <pivotField showAll="0"/>
    <pivotField axis="axisCol"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ID" fld="0"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1" format="8" series="1">
      <pivotArea type="data" outline="0" fieldPosition="0">
        <references count="2">
          <reference field="4294967294" count="1" selected="0">
            <x v="0"/>
          </reference>
          <reference field="13" count="1" selected="0">
            <x v="0"/>
          </reference>
        </references>
      </pivotArea>
    </chartFormat>
    <chartFormat chart="21"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F1C976-4BC2-4326-A404-3D4EE2F3223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4:E9" firstHeaderRow="1" firstDataRow="2" firstDataCol="1"/>
  <pivotFields count="14">
    <pivotField dataField="1"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10">
        <item x="0"/>
        <item x="1"/>
        <item x="2"/>
        <item x="3"/>
        <item x="4"/>
        <item x="5"/>
        <item x="6"/>
        <item x="7"/>
        <item x="8"/>
        <item t="default"/>
      </items>
    </pivotField>
    <pivotField axis="axisRow" showAll="0">
      <items count="8">
        <item m="1" x="6"/>
        <item x="2"/>
        <item m="1" x="5"/>
        <item m="1" x="3"/>
        <item x="0"/>
        <item m="1" x="4"/>
        <item x="1"/>
        <item t="default"/>
      </items>
    </pivotField>
    <pivotField axis="axisCol" showAll="0">
      <items count="3">
        <item x="0"/>
        <item x="1"/>
        <item t="default"/>
      </items>
    </pivotField>
  </pivotFields>
  <rowFields count="1">
    <field x="12"/>
  </rowFields>
  <rowItems count="4">
    <i>
      <x v="1"/>
    </i>
    <i>
      <x v="4"/>
    </i>
    <i>
      <x v="6"/>
    </i>
    <i t="grand">
      <x/>
    </i>
  </rowItems>
  <colFields count="1">
    <field x="13"/>
  </colFields>
  <colItems count="3">
    <i>
      <x/>
    </i>
    <i>
      <x v="1"/>
    </i>
    <i t="grand">
      <x/>
    </i>
  </colItems>
  <dataFields count="1">
    <dataField name="Count of ID" fld="0" subtotal="count" baseField="12" baseItem="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8C0C6E-7434-4BCC-9253-D560EF91186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84:C92" firstHeaderRow="1" firstDataRow="1" firstDataCol="1"/>
  <pivotFields count="14">
    <pivotField showAll="0"/>
    <pivotField showAll="0"/>
    <pivotField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10">
        <item x="0"/>
        <item x="1"/>
        <item x="2"/>
        <item x="3"/>
        <item x="4"/>
        <item x="5"/>
        <item x="6"/>
        <item x="7"/>
        <item x="8"/>
        <item t="default"/>
      </items>
    </pivotField>
    <pivotField showAll="0"/>
    <pivotField showAll="0"/>
  </pivotFields>
  <rowFields count="1">
    <field x="11"/>
  </rowFields>
  <rowItems count="8">
    <i>
      <x v="1"/>
    </i>
    <i>
      <x v="2"/>
    </i>
    <i>
      <x v="3"/>
    </i>
    <i>
      <x v="4"/>
    </i>
    <i>
      <x v="5"/>
    </i>
    <i>
      <x v="6"/>
    </i>
    <i>
      <x v="7"/>
    </i>
    <i t="grand">
      <x/>
    </i>
  </rowItems>
  <colItems count="1">
    <i/>
  </colItems>
  <dataFields count="1">
    <dataField name="Average of Income" fld="3" subtotal="average" baseField="11" baseItem="0" numFmtId="165"/>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1AC4D7-ABA2-4496-8732-F61970BBB31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1:C77" firstHeaderRow="1" firstDataRow="1" firstDataCol="1"/>
  <pivotFields count="14">
    <pivotField dataField="1" showAll="0"/>
    <pivotField showAll="0"/>
    <pivotField showAll="0">
      <items count="3">
        <item x="0"/>
        <item x="1"/>
        <item t="default"/>
      </items>
    </pivotField>
    <pivotField numFmtId="165" showAll="0"/>
    <pivotField showAll="0"/>
    <pivotField axis="axisRow"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items count="10">
        <item x="0"/>
        <item x="1"/>
        <item x="2"/>
        <item x="3"/>
        <item x="4"/>
        <item x="5"/>
        <item x="6"/>
        <item x="7"/>
        <item x="8"/>
        <item t="default"/>
      </items>
    </pivotField>
    <pivotField showAll="0"/>
    <pivotField showAll="0"/>
  </pivotFields>
  <rowFields count="1">
    <field x="5"/>
  </rowFields>
  <rowItems count="6">
    <i>
      <x/>
    </i>
    <i>
      <x v="1"/>
    </i>
    <i>
      <x v="2"/>
    </i>
    <i>
      <x v="3"/>
    </i>
    <i>
      <x v="4"/>
    </i>
    <i t="grand">
      <x/>
    </i>
  </rowItems>
  <colItems count="1">
    <i/>
  </colItems>
  <dataFields count="1">
    <dataField name="Count of ID" fld="0" subtotal="count" baseField="7"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009CFE-C7DF-4F22-97E1-8505D16ACE1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58:C61" firstHeaderRow="1" firstDataRow="1" firstDataCol="1"/>
  <pivotFields count="14">
    <pivotField dataField="1" showAll="0"/>
    <pivotField axis="axisRow"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items count="8">
        <item x="0"/>
        <item m="1" x="5"/>
        <item m="1" x="6"/>
        <item x="3"/>
        <item x="1"/>
        <item x="2"/>
        <item x="4"/>
        <item t="default"/>
      </items>
    </pivotField>
    <pivotField showAll="0">
      <items count="4">
        <item x="0"/>
        <item x="2"/>
        <item x="1"/>
        <item t="default"/>
      </items>
    </pivotField>
    <pivotField showAll="0">
      <items count="10">
        <item x="0"/>
        <item x="1"/>
        <item x="2"/>
        <item x="3"/>
        <item x="4"/>
        <item x="5"/>
        <item x="6"/>
        <item x="7"/>
        <item x="8"/>
        <item t="default"/>
      </items>
    </pivotField>
    <pivotField showAll="0"/>
    <pivotField showAll="0">
      <items count="3">
        <item x="0"/>
        <item x="1"/>
        <item t="default"/>
      </items>
    </pivotField>
  </pivotFields>
  <rowFields count="1">
    <field x="1"/>
  </rowFields>
  <rowItems count="3">
    <i>
      <x/>
    </i>
    <i>
      <x v="1"/>
    </i>
    <i t="grand">
      <x/>
    </i>
  </rowItems>
  <colItems count="1">
    <i/>
  </colItems>
  <dataFields count="1">
    <dataField name="Count of ID" fld="0" subtotal="count" baseField="0" baseItem="0"/>
  </dataFields>
  <chartFormats count="6">
    <chartFormat chart="9" format="1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9" format="15">
      <pivotArea type="data" outline="0" fieldPosition="0">
        <references count="2">
          <reference field="4294967294" count="1" selected="0">
            <x v="0"/>
          </reference>
          <reference field="1" count="1" selected="0">
            <x v="0"/>
          </reference>
        </references>
      </pivotArea>
    </chartFormat>
    <chartFormat chart="9" format="1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9EDD69-8207-4AF8-BB5F-956E1040D730}" sourceName="Gender">
  <pivotTables>
    <pivotTable tabId="6" name="PivotTable8"/>
    <pivotTable tabId="6" name="PivotTable10"/>
    <pivotTable tabId="6" name="PivotTable11"/>
    <pivotTable tabId="6" name="PivotTable12"/>
    <pivotTable tabId="6" name="PivotTable13"/>
    <pivotTable tabId="6" name="PivotTable9"/>
  </pivotTables>
  <data>
    <tabular pivotCacheId="15616335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DD6345-66BB-428C-BDE3-0215338BE6BD}" sourceName="Region">
  <pivotTables>
    <pivotTable tabId="6" name="PivotTable8"/>
    <pivotTable tabId="6" name="PivotTable10"/>
    <pivotTable tabId="6" name="PivotTable11"/>
    <pivotTable tabId="6" name="PivotTable12"/>
    <pivotTable tabId="6" name="PivotTable13"/>
    <pivotTable tabId="6" name="PivotTable9"/>
  </pivotTables>
  <data>
    <tabular pivotCacheId="156163353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E4AA317-B445-4924-BEEB-4D91CF4B7AF3}" sourceName="Education">
  <pivotTables>
    <pivotTable tabId="6" name="PivotTable8"/>
    <pivotTable tabId="6" name="PivotTable10"/>
    <pivotTable tabId="6" name="PivotTable11"/>
    <pivotTable tabId="6" name="PivotTable12"/>
    <pivotTable tabId="6" name="PivotTable13"/>
    <pivotTable tabId="6" name="PivotTable9"/>
  </pivotTables>
  <data>
    <tabular pivotCacheId="1561633533">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525D3C2-D8CE-4DE1-B699-F0E2D312F5A5}" cache="Slicer_Gender" caption="Gender" rowHeight="234950"/>
  <slicer name="Region" xr10:uid="{B04B755E-A3A5-4ED7-BE8A-C813EDE2884F}" cache="Slicer_Region" caption="Region" rowHeight="234950"/>
  <slicer name="Education" xr10:uid="{4EE37DB5-8141-4E59-ADDC-4761C8FD1EBB}"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D1" zoomScale="130" zoomScaleNormal="130" workbookViewId="0">
      <selection sqref="A1:M1"/>
    </sheetView>
  </sheetViews>
  <sheetFormatPr defaultColWidth="11.88671875" defaultRowHeight="14.4" x14ac:dyDescent="0.3"/>
  <cols>
    <col min="1" max="1" width="14.21875" customWidth="1"/>
    <col min="2" max="2" width="15.88671875" customWidth="1"/>
    <col min="5" max="5" width="13.109375" customWidth="1"/>
    <col min="6" max="6" width="22" customWidth="1"/>
    <col min="7" max="7" width="16.44140625" customWidth="1"/>
    <col min="9" max="9" width="16.88671875" customWidth="1"/>
    <col min="10" max="10" width="19.5546875" customWidth="1"/>
    <col min="12" max="12" width="16.1093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5749A-3360-4690-8989-882F67E9036E}">
  <dimension ref="A1:N1027"/>
  <sheetViews>
    <sheetView zoomScale="130" zoomScaleNormal="130" workbookViewId="0">
      <selection activeCell="H16" sqref="H16"/>
    </sheetView>
  </sheetViews>
  <sheetFormatPr defaultRowHeight="14.4" x14ac:dyDescent="0.3"/>
  <cols>
    <col min="1" max="1" width="11.6640625" customWidth="1"/>
    <col min="2" max="2" width="15.109375" customWidth="1"/>
    <col min="3" max="3" width="10.33203125" customWidth="1"/>
    <col min="4" max="4" width="12.21875" style="3" customWidth="1"/>
    <col min="5" max="5" width="11.6640625" customWidth="1"/>
    <col min="6" max="6" width="16.6640625" bestFit="1" customWidth="1"/>
    <col min="7" max="7" width="13.44140625" bestFit="1" customWidth="1"/>
    <col min="8" max="8" width="14.33203125" customWidth="1"/>
    <col min="9" max="9" width="10.88671875" customWidth="1"/>
    <col min="10" max="10" width="19.109375" customWidth="1"/>
    <col min="11" max="12" width="10.5546875" customWidth="1"/>
    <col min="13" max="13" width="19.109375" customWidth="1"/>
    <col min="14" max="14" width="13.6640625" bestFit="1" customWidth="1"/>
  </cols>
  <sheetData>
    <row r="1" spans="1:14" x14ac:dyDescent="0.3">
      <c r="A1" t="s">
        <v>0</v>
      </c>
      <c r="B1" t="s">
        <v>1</v>
      </c>
      <c r="C1" t="s">
        <v>2</v>
      </c>
      <c r="D1" s="3" t="s">
        <v>3</v>
      </c>
      <c r="E1" t="s">
        <v>4</v>
      </c>
      <c r="F1" t="s">
        <v>5</v>
      </c>
      <c r="G1" t="s">
        <v>6</v>
      </c>
      <c r="H1" t="s">
        <v>7</v>
      </c>
      <c r="I1" t="s">
        <v>8</v>
      </c>
      <c r="J1" t="s">
        <v>9</v>
      </c>
      <c r="K1" t="s">
        <v>10</v>
      </c>
      <c r="L1" t="s">
        <v>11</v>
      </c>
      <c r="M1" t="s">
        <v>38</v>
      </c>
      <c r="N1" t="s">
        <v>12</v>
      </c>
    </row>
    <row r="2" spans="1:14" x14ac:dyDescent="0.3">
      <c r="A2">
        <v>12496</v>
      </c>
      <c r="B2" t="s">
        <v>36</v>
      </c>
      <c r="C2" t="s">
        <v>39</v>
      </c>
      <c r="D2" s="3">
        <v>40000</v>
      </c>
      <c r="E2">
        <v>1</v>
      </c>
      <c r="F2" t="s">
        <v>13</v>
      </c>
      <c r="G2" t="s">
        <v>14</v>
      </c>
      <c r="H2" t="s">
        <v>15</v>
      </c>
      <c r="I2">
        <v>0</v>
      </c>
      <c r="J2" t="s">
        <v>16</v>
      </c>
      <c r="K2" t="s">
        <v>17</v>
      </c>
      <c r="L2">
        <v>42</v>
      </c>
      <c r="M2" t="str">
        <f>IF(L2&gt;55, "Old 55+", IF(L2&gt;=31, "Middle Age31-54",IF(L2&lt;31,"Adolescent0-30","Invalid")))</f>
        <v>Middle Age31-54</v>
      </c>
      <c r="N2" t="s">
        <v>18</v>
      </c>
    </row>
    <row r="3" spans="1:14" x14ac:dyDescent="0.3">
      <c r="A3">
        <v>24107</v>
      </c>
      <c r="B3" t="s">
        <v>36</v>
      </c>
      <c r="C3" t="s">
        <v>40</v>
      </c>
      <c r="D3" s="3">
        <v>30000</v>
      </c>
      <c r="E3">
        <v>3</v>
      </c>
      <c r="F3" t="s">
        <v>19</v>
      </c>
      <c r="G3" t="s">
        <v>20</v>
      </c>
      <c r="H3" t="s">
        <v>15</v>
      </c>
      <c r="I3">
        <v>1</v>
      </c>
      <c r="J3" t="s">
        <v>16</v>
      </c>
      <c r="K3" t="s">
        <v>17</v>
      </c>
      <c r="L3">
        <v>43</v>
      </c>
      <c r="M3" t="str">
        <f t="shared" ref="M3:M66" si="0">IF(L3&gt;55, "Old 55+", IF(L3&gt;=31, "Middle Age31-54",IF(L3&lt;31,"Adolescent0-30","Invalid")))</f>
        <v>Middle Age31-54</v>
      </c>
      <c r="N3" t="s">
        <v>18</v>
      </c>
    </row>
    <row r="4" spans="1:14" x14ac:dyDescent="0.3">
      <c r="A4">
        <v>14177</v>
      </c>
      <c r="B4" t="s">
        <v>36</v>
      </c>
      <c r="C4" t="s">
        <v>40</v>
      </c>
      <c r="D4" s="3">
        <v>80000</v>
      </c>
      <c r="E4">
        <v>5</v>
      </c>
      <c r="F4" t="s">
        <v>19</v>
      </c>
      <c r="G4" t="s">
        <v>21</v>
      </c>
      <c r="H4" t="s">
        <v>18</v>
      </c>
      <c r="I4">
        <v>2</v>
      </c>
      <c r="J4" t="s">
        <v>22</v>
      </c>
      <c r="K4" t="s">
        <v>17</v>
      </c>
      <c r="L4">
        <v>60</v>
      </c>
      <c r="M4" t="str">
        <f t="shared" si="0"/>
        <v>Old 55+</v>
      </c>
      <c r="N4" t="s">
        <v>18</v>
      </c>
    </row>
    <row r="5" spans="1:14" x14ac:dyDescent="0.3">
      <c r="A5">
        <v>24381</v>
      </c>
      <c r="B5" t="s">
        <v>37</v>
      </c>
      <c r="C5" t="s">
        <v>40</v>
      </c>
      <c r="D5" s="3">
        <v>70000</v>
      </c>
      <c r="E5">
        <v>0</v>
      </c>
      <c r="F5" t="s">
        <v>13</v>
      </c>
      <c r="G5" t="s">
        <v>21</v>
      </c>
      <c r="H5" t="s">
        <v>15</v>
      </c>
      <c r="I5">
        <v>1</v>
      </c>
      <c r="J5" t="s">
        <v>23</v>
      </c>
      <c r="K5" t="s">
        <v>24</v>
      </c>
      <c r="L5">
        <v>41</v>
      </c>
      <c r="M5" t="str">
        <f t="shared" si="0"/>
        <v>Middle Age31-54</v>
      </c>
      <c r="N5" t="s">
        <v>15</v>
      </c>
    </row>
    <row r="6" spans="1:14" x14ac:dyDescent="0.3">
      <c r="A6">
        <v>25597</v>
      </c>
      <c r="B6" t="s">
        <v>37</v>
      </c>
      <c r="C6" t="s">
        <v>40</v>
      </c>
      <c r="D6" s="3">
        <v>30000</v>
      </c>
      <c r="E6">
        <v>0</v>
      </c>
      <c r="F6" t="s">
        <v>13</v>
      </c>
      <c r="G6" t="s">
        <v>20</v>
      </c>
      <c r="H6" t="s">
        <v>18</v>
      </c>
      <c r="I6">
        <v>0</v>
      </c>
      <c r="J6" t="s">
        <v>16</v>
      </c>
      <c r="K6" t="s">
        <v>17</v>
      </c>
      <c r="L6">
        <v>36</v>
      </c>
      <c r="M6" t="str">
        <f t="shared" si="0"/>
        <v>Middle Age31-54</v>
      </c>
      <c r="N6" t="s">
        <v>15</v>
      </c>
    </row>
    <row r="7" spans="1:14" x14ac:dyDescent="0.3">
      <c r="A7">
        <v>13507</v>
      </c>
      <c r="B7" t="s">
        <v>36</v>
      </c>
      <c r="C7" t="s">
        <v>39</v>
      </c>
      <c r="D7" s="3">
        <v>10000</v>
      </c>
      <c r="E7">
        <v>2</v>
      </c>
      <c r="F7" t="s">
        <v>19</v>
      </c>
      <c r="G7" t="s">
        <v>25</v>
      </c>
      <c r="H7" t="s">
        <v>15</v>
      </c>
      <c r="I7">
        <v>0</v>
      </c>
      <c r="J7" t="s">
        <v>26</v>
      </c>
      <c r="K7" t="s">
        <v>17</v>
      </c>
      <c r="L7">
        <v>50</v>
      </c>
      <c r="M7" t="str">
        <f t="shared" si="0"/>
        <v>Middle Age31-54</v>
      </c>
      <c r="N7" t="s">
        <v>18</v>
      </c>
    </row>
    <row r="8" spans="1:14" x14ac:dyDescent="0.3">
      <c r="A8">
        <v>27974</v>
      </c>
      <c r="B8" t="s">
        <v>37</v>
      </c>
      <c r="C8" t="s">
        <v>40</v>
      </c>
      <c r="D8" s="3">
        <v>160000</v>
      </c>
      <c r="E8">
        <v>2</v>
      </c>
      <c r="F8" t="s">
        <v>27</v>
      </c>
      <c r="G8" t="s">
        <v>28</v>
      </c>
      <c r="H8" t="s">
        <v>15</v>
      </c>
      <c r="I8">
        <v>4</v>
      </c>
      <c r="J8" t="s">
        <v>16</v>
      </c>
      <c r="K8" t="s">
        <v>24</v>
      </c>
      <c r="L8">
        <v>33</v>
      </c>
      <c r="M8" t="str">
        <f t="shared" si="0"/>
        <v>Middle Age31-54</v>
      </c>
      <c r="N8" t="s">
        <v>15</v>
      </c>
    </row>
    <row r="9" spans="1:14" x14ac:dyDescent="0.3">
      <c r="A9">
        <v>19364</v>
      </c>
      <c r="B9" t="s">
        <v>36</v>
      </c>
      <c r="C9" t="s">
        <v>40</v>
      </c>
      <c r="D9" s="3">
        <v>40000</v>
      </c>
      <c r="E9">
        <v>1</v>
      </c>
      <c r="F9" t="s">
        <v>13</v>
      </c>
      <c r="G9" t="s">
        <v>14</v>
      </c>
      <c r="H9" t="s">
        <v>15</v>
      </c>
      <c r="I9">
        <v>0</v>
      </c>
      <c r="J9" t="s">
        <v>16</v>
      </c>
      <c r="K9" t="s">
        <v>17</v>
      </c>
      <c r="L9">
        <v>43</v>
      </c>
      <c r="M9" t="str">
        <f t="shared" si="0"/>
        <v>Middle Age31-54</v>
      </c>
      <c r="N9" t="s">
        <v>15</v>
      </c>
    </row>
    <row r="10" spans="1:14" x14ac:dyDescent="0.3">
      <c r="A10">
        <v>22155</v>
      </c>
      <c r="B10" t="s">
        <v>36</v>
      </c>
      <c r="C10" t="s">
        <v>40</v>
      </c>
      <c r="D10" s="3">
        <v>20000</v>
      </c>
      <c r="E10">
        <v>2</v>
      </c>
      <c r="F10" t="s">
        <v>29</v>
      </c>
      <c r="G10" t="s">
        <v>20</v>
      </c>
      <c r="H10" t="s">
        <v>15</v>
      </c>
      <c r="I10">
        <v>2</v>
      </c>
      <c r="J10" t="s">
        <v>23</v>
      </c>
      <c r="K10" t="s">
        <v>24</v>
      </c>
      <c r="L10">
        <v>58</v>
      </c>
      <c r="M10" t="str">
        <f t="shared" si="0"/>
        <v>Old 55+</v>
      </c>
      <c r="N10" t="s">
        <v>18</v>
      </c>
    </row>
    <row r="11" spans="1:14" x14ac:dyDescent="0.3">
      <c r="A11">
        <v>19280</v>
      </c>
      <c r="B11" t="s">
        <v>36</v>
      </c>
      <c r="C11" t="s">
        <v>40</v>
      </c>
      <c r="D11" s="3">
        <v>120000</v>
      </c>
      <c r="E11">
        <v>2</v>
      </c>
      <c r="F11" t="s">
        <v>19</v>
      </c>
      <c r="G11" t="s">
        <v>25</v>
      </c>
      <c r="H11" t="s">
        <v>15</v>
      </c>
      <c r="I11">
        <v>1</v>
      </c>
      <c r="J11" t="s">
        <v>16</v>
      </c>
      <c r="K11" t="s">
        <v>17</v>
      </c>
      <c r="L11">
        <v>40</v>
      </c>
      <c r="M11" t="str">
        <f t="shared" si="0"/>
        <v>Middle Age31-54</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Age31-54</v>
      </c>
      <c r="N12" t="s">
        <v>15</v>
      </c>
    </row>
    <row r="13" spans="1:14" x14ac:dyDescent="0.3">
      <c r="A13">
        <v>12697</v>
      </c>
      <c r="B13" t="s">
        <v>37</v>
      </c>
      <c r="C13" t="s">
        <v>39</v>
      </c>
      <c r="D13" s="3">
        <v>90000</v>
      </c>
      <c r="E13">
        <v>0</v>
      </c>
      <c r="F13" t="s">
        <v>13</v>
      </c>
      <c r="G13" t="s">
        <v>21</v>
      </c>
      <c r="H13" t="s">
        <v>18</v>
      </c>
      <c r="I13">
        <v>4</v>
      </c>
      <c r="J13" t="s">
        <v>44</v>
      </c>
      <c r="K13" t="s">
        <v>24</v>
      </c>
      <c r="L13">
        <v>36</v>
      </c>
      <c r="M13" t="str">
        <f t="shared" si="0"/>
        <v>Middle Age31-54</v>
      </c>
      <c r="N13" t="s">
        <v>18</v>
      </c>
    </row>
    <row r="14" spans="1:14" x14ac:dyDescent="0.3">
      <c r="A14">
        <v>11434</v>
      </c>
      <c r="B14" t="s">
        <v>36</v>
      </c>
      <c r="C14" t="s">
        <v>40</v>
      </c>
      <c r="D14" s="3">
        <v>170000</v>
      </c>
      <c r="E14">
        <v>5</v>
      </c>
      <c r="F14" t="s">
        <v>19</v>
      </c>
      <c r="G14" t="s">
        <v>21</v>
      </c>
      <c r="H14" t="s">
        <v>15</v>
      </c>
      <c r="I14">
        <v>0</v>
      </c>
      <c r="J14" t="s">
        <v>16</v>
      </c>
      <c r="K14" t="s">
        <v>17</v>
      </c>
      <c r="L14">
        <v>55</v>
      </c>
      <c r="M14" t="str">
        <f t="shared" si="0"/>
        <v>Middle Age31-54</v>
      </c>
      <c r="N14" t="s">
        <v>18</v>
      </c>
    </row>
    <row r="15" spans="1:14" x14ac:dyDescent="0.3">
      <c r="A15">
        <v>25323</v>
      </c>
      <c r="B15" t="s">
        <v>36</v>
      </c>
      <c r="C15" t="s">
        <v>40</v>
      </c>
      <c r="D15" s="3">
        <v>40000</v>
      </c>
      <c r="E15">
        <v>2</v>
      </c>
      <c r="F15" t="s">
        <v>19</v>
      </c>
      <c r="G15" t="s">
        <v>20</v>
      </c>
      <c r="H15" t="s">
        <v>15</v>
      </c>
      <c r="I15">
        <v>1</v>
      </c>
      <c r="J15" t="s">
        <v>26</v>
      </c>
      <c r="K15" t="s">
        <v>17</v>
      </c>
      <c r="L15">
        <v>35</v>
      </c>
      <c r="M15" t="str">
        <f t="shared" si="0"/>
        <v>Middle Age31-54</v>
      </c>
      <c r="N15" t="s">
        <v>15</v>
      </c>
    </row>
    <row r="16" spans="1:14" x14ac:dyDescent="0.3">
      <c r="A16">
        <v>23542</v>
      </c>
      <c r="B16" t="s">
        <v>37</v>
      </c>
      <c r="C16" t="s">
        <v>40</v>
      </c>
      <c r="D16" s="3">
        <v>60000</v>
      </c>
      <c r="E16">
        <v>1</v>
      </c>
      <c r="F16" t="s">
        <v>19</v>
      </c>
      <c r="G16" t="s">
        <v>14</v>
      </c>
      <c r="H16" t="s">
        <v>18</v>
      </c>
      <c r="I16">
        <v>1</v>
      </c>
      <c r="J16" t="s">
        <v>16</v>
      </c>
      <c r="K16" t="s">
        <v>24</v>
      </c>
      <c r="L16">
        <v>45</v>
      </c>
      <c r="M16" t="str">
        <f t="shared" si="0"/>
        <v>Middle Age31-54</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Age31-54</v>
      </c>
      <c r="N17" t="s">
        <v>15</v>
      </c>
    </row>
    <row r="18" spans="1:14" x14ac:dyDescent="0.3">
      <c r="A18">
        <v>23316</v>
      </c>
      <c r="B18" t="s">
        <v>37</v>
      </c>
      <c r="C18" t="s">
        <v>40</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Age31-54</v>
      </c>
      <c r="N19" t="s">
        <v>18</v>
      </c>
    </row>
    <row r="20" spans="1:14" x14ac:dyDescent="0.3">
      <c r="A20">
        <v>27183</v>
      </c>
      <c r="B20" t="s">
        <v>37</v>
      </c>
      <c r="C20" t="s">
        <v>40</v>
      </c>
      <c r="D20" s="3">
        <v>40000</v>
      </c>
      <c r="E20">
        <v>2</v>
      </c>
      <c r="F20" t="s">
        <v>19</v>
      </c>
      <c r="G20" t="s">
        <v>20</v>
      </c>
      <c r="H20" t="s">
        <v>15</v>
      </c>
      <c r="I20">
        <v>1</v>
      </c>
      <c r="J20" t="s">
        <v>26</v>
      </c>
      <c r="K20" t="s">
        <v>17</v>
      </c>
      <c r="L20">
        <v>35</v>
      </c>
      <c r="M20" t="str">
        <f t="shared" si="0"/>
        <v>Middle Age31-54</v>
      </c>
      <c r="N20" t="s">
        <v>15</v>
      </c>
    </row>
    <row r="21" spans="1:14" x14ac:dyDescent="0.3">
      <c r="A21">
        <v>25940</v>
      </c>
      <c r="B21" t="s">
        <v>37</v>
      </c>
      <c r="C21" t="s">
        <v>40</v>
      </c>
      <c r="D21" s="3">
        <v>20000</v>
      </c>
      <c r="E21">
        <v>2</v>
      </c>
      <c r="F21" t="s">
        <v>29</v>
      </c>
      <c r="G21" t="s">
        <v>20</v>
      </c>
      <c r="H21" t="s">
        <v>15</v>
      </c>
      <c r="I21">
        <v>2</v>
      </c>
      <c r="J21" t="s">
        <v>23</v>
      </c>
      <c r="K21" t="s">
        <v>24</v>
      </c>
      <c r="L21">
        <v>55</v>
      </c>
      <c r="M21" t="str">
        <f t="shared" si="0"/>
        <v>Middle Age31-54</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Age31-54</v>
      </c>
      <c r="N22" t="s">
        <v>15</v>
      </c>
    </row>
    <row r="23" spans="1:14" x14ac:dyDescent="0.3">
      <c r="A23">
        <v>21564</v>
      </c>
      <c r="B23" t="s">
        <v>37</v>
      </c>
      <c r="C23" t="s">
        <v>39</v>
      </c>
      <c r="D23" s="3">
        <v>80000</v>
      </c>
      <c r="E23">
        <v>0</v>
      </c>
      <c r="F23" t="s">
        <v>13</v>
      </c>
      <c r="G23" t="s">
        <v>21</v>
      </c>
      <c r="H23" t="s">
        <v>15</v>
      </c>
      <c r="I23">
        <v>4</v>
      </c>
      <c r="J23" t="s">
        <v>44</v>
      </c>
      <c r="K23" t="s">
        <v>24</v>
      </c>
      <c r="L23">
        <v>35</v>
      </c>
      <c r="M23" t="str">
        <f t="shared" si="0"/>
        <v>Middle Age31-54</v>
      </c>
      <c r="N23" t="s">
        <v>18</v>
      </c>
    </row>
    <row r="24" spans="1:14" x14ac:dyDescent="0.3">
      <c r="A24">
        <v>19193</v>
      </c>
      <c r="B24" t="s">
        <v>37</v>
      </c>
      <c r="C24" t="s">
        <v>40</v>
      </c>
      <c r="D24" s="3">
        <v>40000</v>
      </c>
      <c r="E24">
        <v>2</v>
      </c>
      <c r="F24" t="s">
        <v>19</v>
      </c>
      <c r="G24" t="s">
        <v>20</v>
      </c>
      <c r="H24" t="s">
        <v>15</v>
      </c>
      <c r="I24">
        <v>0</v>
      </c>
      <c r="J24" t="s">
        <v>26</v>
      </c>
      <c r="K24" t="s">
        <v>17</v>
      </c>
      <c r="L24">
        <v>35</v>
      </c>
      <c r="M24" t="str">
        <f t="shared" si="0"/>
        <v>Middle Age31-54</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40</v>
      </c>
      <c r="D26" s="3">
        <v>40000</v>
      </c>
      <c r="E26">
        <v>2</v>
      </c>
      <c r="F26" t="s">
        <v>19</v>
      </c>
      <c r="G26" t="s">
        <v>20</v>
      </c>
      <c r="H26" t="s">
        <v>18</v>
      </c>
      <c r="I26">
        <v>1</v>
      </c>
      <c r="J26" t="s">
        <v>16</v>
      </c>
      <c r="K26" t="s">
        <v>17</v>
      </c>
      <c r="L26">
        <v>34</v>
      </c>
      <c r="M26" t="str">
        <f t="shared" si="0"/>
        <v>Middle Age31-54</v>
      </c>
      <c r="N26" t="s">
        <v>18</v>
      </c>
    </row>
    <row r="27" spans="1:14" x14ac:dyDescent="0.3">
      <c r="A27">
        <v>12590</v>
      </c>
      <c r="B27" t="s">
        <v>37</v>
      </c>
      <c r="C27" t="s">
        <v>40</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40</v>
      </c>
      <c r="D28" s="3">
        <v>30000</v>
      </c>
      <c r="E28">
        <v>0</v>
      </c>
      <c r="F28" t="s">
        <v>19</v>
      </c>
      <c r="G28" t="s">
        <v>20</v>
      </c>
      <c r="H28" t="s">
        <v>18</v>
      </c>
      <c r="I28">
        <v>1</v>
      </c>
      <c r="J28" t="s">
        <v>16</v>
      </c>
      <c r="K28" t="s">
        <v>17</v>
      </c>
      <c r="L28">
        <v>29</v>
      </c>
      <c r="M28" t="str">
        <f t="shared" si="0"/>
        <v>Adolescent0-30</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Age31-54</v>
      </c>
      <c r="N29" t="s">
        <v>18</v>
      </c>
    </row>
    <row r="30" spans="1:14" x14ac:dyDescent="0.3">
      <c r="A30">
        <v>18299</v>
      </c>
      <c r="B30" t="s">
        <v>36</v>
      </c>
      <c r="C30" t="s">
        <v>40</v>
      </c>
      <c r="D30" s="3">
        <v>70000</v>
      </c>
      <c r="E30">
        <v>5</v>
      </c>
      <c r="F30" t="s">
        <v>19</v>
      </c>
      <c r="G30" t="s">
        <v>14</v>
      </c>
      <c r="H30" t="s">
        <v>15</v>
      </c>
      <c r="I30">
        <v>2</v>
      </c>
      <c r="J30" t="s">
        <v>23</v>
      </c>
      <c r="K30" t="s">
        <v>24</v>
      </c>
      <c r="L30">
        <v>44</v>
      </c>
      <c r="M30" t="str">
        <f t="shared" si="0"/>
        <v>Middle Age31-54</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Age31-54</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3">
      <c r="A33">
        <v>22400</v>
      </c>
      <c r="B33" t="s">
        <v>36</v>
      </c>
      <c r="C33" t="s">
        <v>40</v>
      </c>
      <c r="D33" s="3">
        <v>10000</v>
      </c>
      <c r="E33">
        <v>0</v>
      </c>
      <c r="F33" t="s">
        <v>19</v>
      </c>
      <c r="G33" t="s">
        <v>25</v>
      </c>
      <c r="H33" t="s">
        <v>18</v>
      </c>
      <c r="I33">
        <v>1</v>
      </c>
      <c r="J33" t="s">
        <v>16</v>
      </c>
      <c r="K33" t="s">
        <v>24</v>
      </c>
      <c r="L33">
        <v>26</v>
      </c>
      <c r="M33" t="str">
        <f t="shared" si="0"/>
        <v>Adolescent0-30</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Age31-54</v>
      </c>
      <c r="N34" t="s">
        <v>18</v>
      </c>
    </row>
    <row r="35" spans="1:14" x14ac:dyDescent="0.3">
      <c r="A35">
        <v>18484</v>
      </c>
      <c r="B35" t="s">
        <v>37</v>
      </c>
      <c r="C35" t="s">
        <v>40</v>
      </c>
      <c r="D35" s="3">
        <v>80000</v>
      </c>
      <c r="E35">
        <v>2</v>
      </c>
      <c r="F35" t="s">
        <v>27</v>
      </c>
      <c r="G35" t="s">
        <v>14</v>
      </c>
      <c r="H35" t="s">
        <v>18</v>
      </c>
      <c r="I35">
        <v>2</v>
      </c>
      <c r="J35" t="s">
        <v>26</v>
      </c>
      <c r="K35" t="s">
        <v>24</v>
      </c>
      <c r="L35">
        <v>50</v>
      </c>
      <c r="M35" t="str">
        <f t="shared" si="0"/>
        <v>Middle Age31-54</v>
      </c>
      <c r="N35" t="s">
        <v>15</v>
      </c>
    </row>
    <row r="36" spans="1:14" x14ac:dyDescent="0.3">
      <c r="A36">
        <v>12291</v>
      </c>
      <c r="B36" t="s">
        <v>37</v>
      </c>
      <c r="C36" t="s">
        <v>40</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Age31-54</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Age31-54</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Adolescent0-30</v>
      </c>
      <c r="N39" t="s">
        <v>18</v>
      </c>
    </row>
    <row r="40" spans="1:14" x14ac:dyDescent="0.3">
      <c r="A40">
        <v>26863</v>
      </c>
      <c r="B40" t="s">
        <v>37</v>
      </c>
      <c r="C40" t="s">
        <v>40</v>
      </c>
      <c r="D40" s="3">
        <v>20000</v>
      </c>
      <c r="E40">
        <v>0</v>
      </c>
      <c r="F40" t="s">
        <v>27</v>
      </c>
      <c r="G40" t="s">
        <v>25</v>
      </c>
      <c r="H40" t="s">
        <v>18</v>
      </c>
      <c r="I40">
        <v>1</v>
      </c>
      <c r="J40" t="s">
        <v>22</v>
      </c>
      <c r="K40" t="s">
        <v>17</v>
      </c>
      <c r="L40">
        <v>28</v>
      </c>
      <c r="M40" t="str">
        <f t="shared" si="0"/>
        <v>Adolescent0-30</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Age31-54</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Age31-54</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Age31-54</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Age31-54</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Age31-54</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Age31-54</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Age31-54</v>
      </c>
      <c r="N49" t="s">
        <v>15</v>
      </c>
    </row>
    <row r="50" spans="1:14" x14ac:dyDescent="0.3">
      <c r="A50">
        <v>19487</v>
      </c>
      <c r="B50" t="s">
        <v>36</v>
      </c>
      <c r="C50" t="s">
        <v>40</v>
      </c>
      <c r="D50" s="3">
        <v>30000</v>
      </c>
      <c r="E50">
        <v>2</v>
      </c>
      <c r="F50" t="s">
        <v>19</v>
      </c>
      <c r="G50" t="s">
        <v>20</v>
      </c>
      <c r="H50" t="s">
        <v>18</v>
      </c>
      <c r="I50">
        <v>2</v>
      </c>
      <c r="J50" t="s">
        <v>16</v>
      </c>
      <c r="K50" t="s">
        <v>17</v>
      </c>
      <c r="L50">
        <v>42</v>
      </c>
      <c r="M50" t="str">
        <f t="shared" si="0"/>
        <v>Middle Age31-54</v>
      </c>
      <c r="N50" t="s">
        <v>18</v>
      </c>
    </row>
    <row r="51" spans="1:14" x14ac:dyDescent="0.3">
      <c r="A51">
        <v>14939</v>
      </c>
      <c r="B51" t="s">
        <v>37</v>
      </c>
      <c r="C51" t="s">
        <v>40</v>
      </c>
      <c r="D51" s="3">
        <v>40000</v>
      </c>
      <c r="E51">
        <v>0</v>
      </c>
      <c r="F51" t="s">
        <v>13</v>
      </c>
      <c r="G51" t="s">
        <v>20</v>
      </c>
      <c r="H51" t="s">
        <v>15</v>
      </c>
      <c r="I51">
        <v>0</v>
      </c>
      <c r="J51" t="s">
        <v>16</v>
      </c>
      <c r="K51" t="s">
        <v>17</v>
      </c>
      <c r="L51">
        <v>39</v>
      </c>
      <c r="M51" t="str">
        <f t="shared" si="0"/>
        <v>Middle Age31-54</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Adolescent0-30</v>
      </c>
      <c r="N52" t="s">
        <v>18</v>
      </c>
    </row>
    <row r="53" spans="1:14" x14ac:dyDescent="0.3">
      <c r="A53">
        <v>20619</v>
      </c>
      <c r="B53" t="s">
        <v>37</v>
      </c>
      <c r="C53" t="s">
        <v>40</v>
      </c>
      <c r="D53" s="3">
        <v>80000</v>
      </c>
      <c r="E53">
        <v>0</v>
      </c>
      <c r="F53" t="s">
        <v>13</v>
      </c>
      <c r="G53" t="s">
        <v>21</v>
      </c>
      <c r="H53" t="s">
        <v>18</v>
      </c>
      <c r="I53">
        <v>4</v>
      </c>
      <c r="J53" t="s">
        <v>44</v>
      </c>
      <c r="K53" t="s">
        <v>24</v>
      </c>
      <c r="L53">
        <v>35</v>
      </c>
      <c r="M53" t="str">
        <f t="shared" si="0"/>
        <v>Middle Age31-54</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Age31-54</v>
      </c>
      <c r="N56" t="s">
        <v>18</v>
      </c>
    </row>
    <row r="57" spans="1:14" x14ac:dyDescent="0.3">
      <c r="A57">
        <v>28906</v>
      </c>
      <c r="B57" t="s">
        <v>36</v>
      </c>
      <c r="C57" t="s">
        <v>40</v>
      </c>
      <c r="D57" s="3">
        <v>80000</v>
      </c>
      <c r="E57">
        <v>4</v>
      </c>
      <c r="F57" t="s">
        <v>27</v>
      </c>
      <c r="G57" t="s">
        <v>21</v>
      </c>
      <c r="H57" t="s">
        <v>15</v>
      </c>
      <c r="I57">
        <v>2</v>
      </c>
      <c r="J57" t="s">
        <v>44</v>
      </c>
      <c r="K57" t="s">
        <v>17</v>
      </c>
      <c r="L57">
        <v>54</v>
      </c>
      <c r="M57" t="str">
        <f t="shared" si="0"/>
        <v>Middle Age31-54</v>
      </c>
      <c r="N57" t="s">
        <v>18</v>
      </c>
    </row>
    <row r="58" spans="1:14" x14ac:dyDescent="0.3">
      <c r="A58">
        <v>12808</v>
      </c>
      <c r="B58" t="s">
        <v>36</v>
      </c>
      <c r="C58" t="s">
        <v>40</v>
      </c>
      <c r="D58" s="3">
        <v>40000</v>
      </c>
      <c r="E58">
        <v>0</v>
      </c>
      <c r="F58" t="s">
        <v>13</v>
      </c>
      <c r="G58" t="s">
        <v>20</v>
      </c>
      <c r="H58" t="s">
        <v>15</v>
      </c>
      <c r="I58">
        <v>0</v>
      </c>
      <c r="J58" t="s">
        <v>16</v>
      </c>
      <c r="K58" t="s">
        <v>17</v>
      </c>
      <c r="L58">
        <v>38</v>
      </c>
      <c r="M58" t="str">
        <f t="shared" si="0"/>
        <v>Middle Age31-54</v>
      </c>
      <c r="N58" t="s">
        <v>15</v>
      </c>
    </row>
    <row r="59" spans="1:14" x14ac:dyDescent="0.3">
      <c r="A59">
        <v>20567</v>
      </c>
      <c r="B59" t="s">
        <v>36</v>
      </c>
      <c r="C59" t="s">
        <v>40</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Age31-54</v>
      </c>
      <c r="N60" t="s">
        <v>15</v>
      </c>
    </row>
    <row r="61" spans="1:14" x14ac:dyDescent="0.3">
      <c r="A61">
        <v>15580</v>
      </c>
      <c r="B61" t="s">
        <v>36</v>
      </c>
      <c r="C61" t="s">
        <v>40</v>
      </c>
      <c r="D61" s="3">
        <v>60000</v>
      </c>
      <c r="E61">
        <v>2</v>
      </c>
      <c r="F61" t="s">
        <v>13</v>
      </c>
      <c r="G61" t="s">
        <v>21</v>
      </c>
      <c r="H61" t="s">
        <v>15</v>
      </c>
      <c r="I61">
        <v>1</v>
      </c>
      <c r="J61" t="s">
        <v>22</v>
      </c>
      <c r="K61" t="s">
        <v>24</v>
      </c>
      <c r="L61">
        <v>38</v>
      </c>
      <c r="M61" t="str">
        <f t="shared" si="0"/>
        <v>Middle Age31-54</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Age31-54</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Age31-54</v>
      </c>
      <c r="N63" t="s">
        <v>18</v>
      </c>
    </row>
    <row r="64" spans="1:14" x14ac:dyDescent="0.3">
      <c r="A64">
        <v>16713</v>
      </c>
      <c r="B64" t="s">
        <v>36</v>
      </c>
      <c r="C64" t="s">
        <v>40</v>
      </c>
      <c r="D64" s="3">
        <v>40000</v>
      </c>
      <c r="E64">
        <v>2</v>
      </c>
      <c r="F64" t="s">
        <v>13</v>
      </c>
      <c r="G64" t="s">
        <v>28</v>
      </c>
      <c r="H64" t="s">
        <v>15</v>
      </c>
      <c r="I64">
        <v>1</v>
      </c>
      <c r="J64" t="s">
        <v>16</v>
      </c>
      <c r="K64" t="s">
        <v>24</v>
      </c>
      <c r="L64">
        <v>52</v>
      </c>
      <c r="M64" t="str">
        <f t="shared" si="0"/>
        <v>Middle Age31-54</v>
      </c>
      <c r="N64" t="s">
        <v>15</v>
      </c>
    </row>
    <row r="65" spans="1:14" x14ac:dyDescent="0.3">
      <c r="A65">
        <v>16185</v>
      </c>
      <c r="B65" t="s">
        <v>37</v>
      </c>
      <c r="C65" t="s">
        <v>40</v>
      </c>
      <c r="D65" s="3">
        <v>60000</v>
      </c>
      <c r="E65">
        <v>4</v>
      </c>
      <c r="F65" t="s">
        <v>13</v>
      </c>
      <c r="G65" t="s">
        <v>21</v>
      </c>
      <c r="H65" t="s">
        <v>15</v>
      </c>
      <c r="I65">
        <v>3</v>
      </c>
      <c r="J65" t="s">
        <v>44</v>
      </c>
      <c r="K65" t="s">
        <v>24</v>
      </c>
      <c r="L65">
        <v>41</v>
      </c>
      <c r="M65" t="str">
        <f t="shared" si="0"/>
        <v>Middle Age31-54</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Age31-54</v>
      </c>
      <c r="N66" t="s">
        <v>15</v>
      </c>
    </row>
    <row r="67" spans="1:14" x14ac:dyDescent="0.3">
      <c r="A67">
        <v>29337</v>
      </c>
      <c r="B67" t="s">
        <v>37</v>
      </c>
      <c r="C67" t="s">
        <v>40</v>
      </c>
      <c r="D67" s="3">
        <v>30000</v>
      </c>
      <c r="E67">
        <v>2</v>
      </c>
      <c r="F67" t="s">
        <v>19</v>
      </c>
      <c r="G67" t="s">
        <v>20</v>
      </c>
      <c r="H67" t="s">
        <v>15</v>
      </c>
      <c r="I67">
        <v>2</v>
      </c>
      <c r="J67" t="s">
        <v>23</v>
      </c>
      <c r="K67" t="s">
        <v>24</v>
      </c>
      <c r="L67">
        <v>68</v>
      </c>
      <c r="M67" t="str">
        <f t="shared" ref="M67:M130" si="1">IF(L67&gt;55, "Old 55+", IF(L67&gt;=31, "Middle Age31-54",IF(L67&lt;31,"Adolescent0-30","Invalid")))</f>
        <v>Old 55+</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Age31-54</v>
      </c>
      <c r="N68" t="s">
        <v>15</v>
      </c>
    </row>
    <row r="69" spans="1:14" x14ac:dyDescent="0.3">
      <c r="A69">
        <v>25303</v>
      </c>
      <c r="B69" t="s">
        <v>37</v>
      </c>
      <c r="C69" t="s">
        <v>40</v>
      </c>
      <c r="D69" s="3">
        <v>30000</v>
      </c>
      <c r="E69">
        <v>0</v>
      </c>
      <c r="F69" t="s">
        <v>27</v>
      </c>
      <c r="G69" t="s">
        <v>25</v>
      </c>
      <c r="H69" t="s">
        <v>15</v>
      </c>
      <c r="I69">
        <v>1</v>
      </c>
      <c r="J69" t="s">
        <v>22</v>
      </c>
      <c r="K69" t="s">
        <v>17</v>
      </c>
      <c r="L69">
        <v>33</v>
      </c>
      <c r="M69" t="str">
        <f t="shared" si="1"/>
        <v>Middle Age31-54</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Age31-54</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Adolescent0-30</v>
      </c>
      <c r="N71" t="s">
        <v>18</v>
      </c>
    </row>
    <row r="72" spans="1:14" x14ac:dyDescent="0.3">
      <c r="A72">
        <v>14238</v>
      </c>
      <c r="B72" t="s">
        <v>36</v>
      </c>
      <c r="C72" t="s">
        <v>40</v>
      </c>
      <c r="D72" s="3">
        <v>120000</v>
      </c>
      <c r="E72">
        <v>0</v>
      </c>
      <c r="F72" t="s">
        <v>29</v>
      </c>
      <c r="G72" t="s">
        <v>21</v>
      </c>
      <c r="H72" t="s">
        <v>15</v>
      </c>
      <c r="I72">
        <v>4</v>
      </c>
      <c r="J72" t="s">
        <v>44</v>
      </c>
      <c r="K72" t="s">
        <v>24</v>
      </c>
      <c r="L72">
        <v>36</v>
      </c>
      <c r="M72" t="str">
        <f t="shared" si="1"/>
        <v>Middle Age31-54</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Age31-54</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Age31-54</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Age31-54</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Age31-54</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Adolescent0-30</v>
      </c>
      <c r="N78" t="s">
        <v>18</v>
      </c>
    </row>
    <row r="79" spans="1:14" x14ac:dyDescent="0.3">
      <c r="A79">
        <v>27969</v>
      </c>
      <c r="B79" t="s">
        <v>36</v>
      </c>
      <c r="C79" t="s">
        <v>40</v>
      </c>
      <c r="D79" s="3">
        <v>80000</v>
      </c>
      <c r="E79">
        <v>0</v>
      </c>
      <c r="F79" t="s">
        <v>13</v>
      </c>
      <c r="G79" t="s">
        <v>21</v>
      </c>
      <c r="H79" t="s">
        <v>15</v>
      </c>
      <c r="I79">
        <v>2</v>
      </c>
      <c r="J79" t="s">
        <v>44</v>
      </c>
      <c r="K79" t="s">
        <v>24</v>
      </c>
      <c r="L79">
        <v>29</v>
      </c>
      <c r="M79" t="str">
        <f t="shared" si="1"/>
        <v>Adolescent0-30</v>
      </c>
      <c r="N79" t="s">
        <v>15</v>
      </c>
    </row>
    <row r="80" spans="1:14" x14ac:dyDescent="0.3">
      <c r="A80">
        <v>15752</v>
      </c>
      <c r="B80" t="s">
        <v>36</v>
      </c>
      <c r="C80" t="s">
        <v>40</v>
      </c>
      <c r="D80" s="3">
        <v>80000</v>
      </c>
      <c r="E80">
        <v>2</v>
      </c>
      <c r="F80" t="s">
        <v>27</v>
      </c>
      <c r="G80" t="s">
        <v>14</v>
      </c>
      <c r="H80" t="s">
        <v>18</v>
      </c>
      <c r="I80">
        <v>2</v>
      </c>
      <c r="J80" t="s">
        <v>26</v>
      </c>
      <c r="K80" t="s">
        <v>24</v>
      </c>
      <c r="L80">
        <v>50</v>
      </c>
      <c r="M80" t="str">
        <f t="shared" si="1"/>
        <v>Middle Age31-54</v>
      </c>
      <c r="N80" t="s">
        <v>15</v>
      </c>
    </row>
    <row r="81" spans="1:14" x14ac:dyDescent="0.3">
      <c r="A81">
        <v>27745</v>
      </c>
      <c r="B81" t="s">
        <v>37</v>
      </c>
      <c r="C81" t="s">
        <v>40</v>
      </c>
      <c r="D81" s="3">
        <v>40000</v>
      </c>
      <c r="E81">
        <v>2</v>
      </c>
      <c r="F81" t="s">
        <v>13</v>
      </c>
      <c r="G81" t="s">
        <v>28</v>
      </c>
      <c r="H81" t="s">
        <v>15</v>
      </c>
      <c r="I81">
        <v>2</v>
      </c>
      <c r="J81" t="s">
        <v>23</v>
      </c>
      <c r="K81" t="s">
        <v>24</v>
      </c>
      <c r="L81">
        <v>63</v>
      </c>
      <c r="M81" t="str">
        <f t="shared" si="1"/>
        <v>Old 55+</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Age31-54</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Age31-54</v>
      </c>
      <c r="N83" t="s">
        <v>18</v>
      </c>
    </row>
    <row r="84" spans="1:14" x14ac:dyDescent="0.3">
      <c r="A84">
        <v>26941</v>
      </c>
      <c r="B84" t="s">
        <v>36</v>
      </c>
      <c r="C84" t="s">
        <v>40</v>
      </c>
      <c r="D84" s="3">
        <v>30000</v>
      </c>
      <c r="E84">
        <v>0</v>
      </c>
      <c r="F84" t="s">
        <v>13</v>
      </c>
      <c r="G84" t="s">
        <v>20</v>
      </c>
      <c r="H84" t="s">
        <v>15</v>
      </c>
      <c r="I84">
        <v>0</v>
      </c>
      <c r="J84" t="s">
        <v>16</v>
      </c>
      <c r="K84" t="s">
        <v>17</v>
      </c>
      <c r="L84">
        <v>47</v>
      </c>
      <c r="M84" t="str">
        <f t="shared" si="1"/>
        <v>Middle Age31-54</v>
      </c>
      <c r="N84" t="s">
        <v>15</v>
      </c>
    </row>
    <row r="85" spans="1:14" x14ac:dyDescent="0.3">
      <c r="A85">
        <v>28412</v>
      </c>
      <c r="B85" t="s">
        <v>37</v>
      </c>
      <c r="C85" t="s">
        <v>40</v>
      </c>
      <c r="D85" s="3">
        <v>20000</v>
      </c>
      <c r="E85">
        <v>0</v>
      </c>
      <c r="F85" t="s">
        <v>27</v>
      </c>
      <c r="G85" t="s">
        <v>25</v>
      </c>
      <c r="H85" t="s">
        <v>18</v>
      </c>
      <c r="I85">
        <v>1</v>
      </c>
      <c r="J85" t="s">
        <v>22</v>
      </c>
      <c r="K85" t="s">
        <v>17</v>
      </c>
      <c r="L85">
        <v>29</v>
      </c>
      <c r="M85" t="str">
        <f t="shared" si="1"/>
        <v>Adolescent0-30</v>
      </c>
      <c r="N85" t="s">
        <v>18</v>
      </c>
    </row>
    <row r="86" spans="1:14" x14ac:dyDescent="0.3">
      <c r="A86">
        <v>24485</v>
      </c>
      <c r="B86" t="s">
        <v>37</v>
      </c>
      <c r="C86" t="s">
        <v>40</v>
      </c>
      <c r="D86" s="3">
        <v>40000</v>
      </c>
      <c r="E86">
        <v>2</v>
      </c>
      <c r="F86" t="s">
        <v>13</v>
      </c>
      <c r="G86" t="s">
        <v>28</v>
      </c>
      <c r="H86" t="s">
        <v>18</v>
      </c>
      <c r="I86">
        <v>1</v>
      </c>
      <c r="J86" t="s">
        <v>23</v>
      </c>
      <c r="K86" t="s">
        <v>24</v>
      </c>
      <c r="L86">
        <v>52</v>
      </c>
      <c r="M86" t="str">
        <f t="shared" si="1"/>
        <v>Middle Age31-54</v>
      </c>
      <c r="N86" t="s">
        <v>15</v>
      </c>
    </row>
    <row r="87" spans="1:14" x14ac:dyDescent="0.3">
      <c r="A87">
        <v>16514</v>
      </c>
      <c r="B87" t="s">
        <v>37</v>
      </c>
      <c r="C87" t="s">
        <v>40</v>
      </c>
      <c r="D87" s="3">
        <v>10000</v>
      </c>
      <c r="E87">
        <v>0</v>
      </c>
      <c r="F87" t="s">
        <v>19</v>
      </c>
      <c r="G87" t="s">
        <v>25</v>
      </c>
      <c r="H87" t="s">
        <v>15</v>
      </c>
      <c r="I87">
        <v>1</v>
      </c>
      <c r="J87" t="s">
        <v>26</v>
      </c>
      <c r="K87" t="s">
        <v>24</v>
      </c>
      <c r="L87">
        <v>26</v>
      </c>
      <c r="M87" t="str">
        <f t="shared" si="1"/>
        <v>Adolescent0-30</v>
      </c>
      <c r="N87" t="s">
        <v>15</v>
      </c>
    </row>
    <row r="88" spans="1:14" x14ac:dyDescent="0.3">
      <c r="A88">
        <v>17191</v>
      </c>
      <c r="B88" t="s">
        <v>37</v>
      </c>
      <c r="C88" t="s">
        <v>40</v>
      </c>
      <c r="D88" s="3">
        <v>130000</v>
      </c>
      <c r="E88">
        <v>3</v>
      </c>
      <c r="F88" t="s">
        <v>19</v>
      </c>
      <c r="G88" t="s">
        <v>21</v>
      </c>
      <c r="H88" t="s">
        <v>18</v>
      </c>
      <c r="I88">
        <v>3</v>
      </c>
      <c r="J88" t="s">
        <v>16</v>
      </c>
      <c r="K88" t="s">
        <v>17</v>
      </c>
      <c r="L88">
        <v>51</v>
      </c>
      <c r="M88" t="str">
        <f t="shared" si="1"/>
        <v>Middle Age31-54</v>
      </c>
      <c r="N88" t="s">
        <v>15</v>
      </c>
    </row>
    <row r="89" spans="1:14" x14ac:dyDescent="0.3">
      <c r="A89">
        <v>19608</v>
      </c>
      <c r="B89" t="s">
        <v>36</v>
      </c>
      <c r="C89" t="s">
        <v>40</v>
      </c>
      <c r="D89" s="3">
        <v>80000</v>
      </c>
      <c r="E89">
        <v>5</v>
      </c>
      <c r="F89" t="s">
        <v>13</v>
      </c>
      <c r="G89" t="s">
        <v>21</v>
      </c>
      <c r="H89" t="s">
        <v>15</v>
      </c>
      <c r="I89">
        <v>4</v>
      </c>
      <c r="J89" t="s">
        <v>26</v>
      </c>
      <c r="K89" t="s">
        <v>24</v>
      </c>
      <c r="L89">
        <v>40</v>
      </c>
      <c r="M89" t="str">
        <f t="shared" si="1"/>
        <v>Middle Age31-54</v>
      </c>
      <c r="N89" t="s">
        <v>18</v>
      </c>
    </row>
    <row r="90" spans="1:14" x14ac:dyDescent="0.3">
      <c r="A90">
        <v>24119</v>
      </c>
      <c r="B90" t="s">
        <v>37</v>
      </c>
      <c r="C90" t="s">
        <v>40</v>
      </c>
      <c r="D90" s="3">
        <v>30000</v>
      </c>
      <c r="E90">
        <v>0</v>
      </c>
      <c r="F90" t="s">
        <v>19</v>
      </c>
      <c r="G90" t="s">
        <v>20</v>
      </c>
      <c r="H90" t="s">
        <v>18</v>
      </c>
      <c r="I90">
        <v>1</v>
      </c>
      <c r="J90" t="s">
        <v>22</v>
      </c>
      <c r="K90" t="s">
        <v>17</v>
      </c>
      <c r="L90">
        <v>29</v>
      </c>
      <c r="M90" t="str">
        <f t="shared" si="1"/>
        <v>Adolescent0-30</v>
      </c>
      <c r="N90" t="s">
        <v>18</v>
      </c>
    </row>
    <row r="91" spans="1:14" x14ac:dyDescent="0.3">
      <c r="A91">
        <v>25458</v>
      </c>
      <c r="B91" t="s">
        <v>36</v>
      </c>
      <c r="C91" t="s">
        <v>40</v>
      </c>
      <c r="D91" s="3">
        <v>20000</v>
      </c>
      <c r="E91">
        <v>1</v>
      </c>
      <c r="F91" t="s">
        <v>27</v>
      </c>
      <c r="G91" t="s">
        <v>25</v>
      </c>
      <c r="H91" t="s">
        <v>18</v>
      </c>
      <c r="I91">
        <v>1</v>
      </c>
      <c r="J91" t="s">
        <v>26</v>
      </c>
      <c r="K91" t="s">
        <v>17</v>
      </c>
      <c r="L91">
        <v>40</v>
      </c>
      <c r="M91" t="str">
        <f t="shared" si="1"/>
        <v>Middle Age31-54</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Adolescent0-30</v>
      </c>
      <c r="N92" t="s">
        <v>15</v>
      </c>
    </row>
    <row r="93" spans="1:14" x14ac:dyDescent="0.3">
      <c r="A93">
        <v>28436</v>
      </c>
      <c r="B93" t="s">
        <v>37</v>
      </c>
      <c r="C93" t="s">
        <v>40</v>
      </c>
      <c r="D93" s="3">
        <v>30000</v>
      </c>
      <c r="E93">
        <v>0</v>
      </c>
      <c r="F93" t="s">
        <v>19</v>
      </c>
      <c r="G93" t="s">
        <v>20</v>
      </c>
      <c r="H93" t="s">
        <v>18</v>
      </c>
      <c r="I93">
        <v>1</v>
      </c>
      <c r="J93" t="s">
        <v>16</v>
      </c>
      <c r="K93" t="s">
        <v>17</v>
      </c>
      <c r="L93">
        <v>30</v>
      </c>
      <c r="M93" t="str">
        <f t="shared" si="1"/>
        <v>Adolescent0-30</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Age31-54</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Age31-54</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Age31-54</v>
      </c>
      <c r="N96" t="s">
        <v>18</v>
      </c>
    </row>
    <row r="97" spans="1:14" x14ac:dyDescent="0.3">
      <c r="A97">
        <v>17197</v>
      </c>
      <c r="B97" t="s">
        <v>37</v>
      </c>
      <c r="C97" t="s">
        <v>39</v>
      </c>
      <c r="D97" s="3">
        <v>90000</v>
      </c>
      <c r="E97">
        <v>5</v>
      </c>
      <c r="F97" t="s">
        <v>19</v>
      </c>
      <c r="G97" t="s">
        <v>21</v>
      </c>
      <c r="H97" t="s">
        <v>15</v>
      </c>
      <c r="I97">
        <v>2</v>
      </c>
      <c r="J97" t="s">
        <v>44</v>
      </c>
      <c r="K97" t="s">
        <v>17</v>
      </c>
      <c r="L97">
        <v>62</v>
      </c>
      <c r="M97" t="str">
        <f t="shared" si="1"/>
        <v>Old 55+</v>
      </c>
      <c r="N97" t="s">
        <v>18</v>
      </c>
    </row>
    <row r="98" spans="1:14" x14ac:dyDescent="0.3">
      <c r="A98">
        <v>12507</v>
      </c>
      <c r="B98" t="s">
        <v>36</v>
      </c>
      <c r="C98" t="s">
        <v>40</v>
      </c>
      <c r="D98" s="3">
        <v>30000</v>
      </c>
      <c r="E98">
        <v>1</v>
      </c>
      <c r="F98" t="s">
        <v>19</v>
      </c>
      <c r="G98" t="s">
        <v>20</v>
      </c>
      <c r="H98" t="s">
        <v>15</v>
      </c>
      <c r="I98">
        <v>1</v>
      </c>
      <c r="J98" t="s">
        <v>16</v>
      </c>
      <c r="K98" t="s">
        <v>17</v>
      </c>
      <c r="L98">
        <v>43</v>
      </c>
      <c r="M98" t="str">
        <f t="shared" si="1"/>
        <v>Middle Age31-54</v>
      </c>
      <c r="N98" t="s">
        <v>18</v>
      </c>
    </row>
    <row r="99" spans="1:14" x14ac:dyDescent="0.3">
      <c r="A99">
        <v>23940</v>
      </c>
      <c r="B99" t="s">
        <v>36</v>
      </c>
      <c r="C99" t="s">
        <v>40</v>
      </c>
      <c r="D99" s="3">
        <v>40000</v>
      </c>
      <c r="E99">
        <v>1</v>
      </c>
      <c r="F99" t="s">
        <v>13</v>
      </c>
      <c r="G99" t="s">
        <v>14</v>
      </c>
      <c r="H99" t="s">
        <v>15</v>
      </c>
      <c r="I99">
        <v>1</v>
      </c>
      <c r="J99" t="s">
        <v>16</v>
      </c>
      <c r="K99" t="s">
        <v>17</v>
      </c>
      <c r="L99">
        <v>44</v>
      </c>
      <c r="M99" t="str">
        <f t="shared" si="1"/>
        <v>Middle Age31-54</v>
      </c>
      <c r="N99" t="s">
        <v>15</v>
      </c>
    </row>
    <row r="100" spans="1:14" x14ac:dyDescent="0.3">
      <c r="A100">
        <v>19441</v>
      </c>
      <c r="B100" t="s">
        <v>36</v>
      </c>
      <c r="C100" t="s">
        <v>40</v>
      </c>
      <c r="D100" s="3">
        <v>40000</v>
      </c>
      <c r="E100">
        <v>0</v>
      </c>
      <c r="F100" t="s">
        <v>31</v>
      </c>
      <c r="G100" t="s">
        <v>20</v>
      </c>
      <c r="H100" t="s">
        <v>15</v>
      </c>
      <c r="I100">
        <v>0</v>
      </c>
      <c r="J100" t="s">
        <v>16</v>
      </c>
      <c r="K100" t="s">
        <v>17</v>
      </c>
      <c r="L100">
        <v>25</v>
      </c>
      <c r="M100" t="str">
        <f t="shared" si="1"/>
        <v>Adolescent0-30</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Age31-54</v>
      </c>
      <c r="N101" t="s">
        <v>18</v>
      </c>
    </row>
    <row r="102" spans="1:14" x14ac:dyDescent="0.3">
      <c r="A102">
        <v>12274</v>
      </c>
      <c r="B102" t="s">
        <v>37</v>
      </c>
      <c r="C102" t="s">
        <v>40</v>
      </c>
      <c r="D102" s="3">
        <v>10000</v>
      </c>
      <c r="E102">
        <v>2</v>
      </c>
      <c r="F102" t="s">
        <v>27</v>
      </c>
      <c r="G102" t="s">
        <v>25</v>
      </c>
      <c r="H102" t="s">
        <v>15</v>
      </c>
      <c r="I102">
        <v>0</v>
      </c>
      <c r="J102" t="s">
        <v>16</v>
      </c>
      <c r="K102" t="s">
        <v>17</v>
      </c>
      <c r="L102">
        <v>35</v>
      </c>
      <c r="M102" t="str">
        <f t="shared" si="1"/>
        <v>Middle Age31-54</v>
      </c>
      <c r="N102" t="s">
        <v>18</v>
      </c>
    </row>
    <row r="103" spans="1:14" x14ac:dyDescent="0.3">
      <c r="A103">
        <v>20236</v>
      </c>
      <c r="B103" t="s">
        <v>37</v>
      </c>
      <c r="C103" t="s">
        <v>40</v>
      </c>
      <c r="D103" s="3">
        <v>60000</v>
      </c>
      <c r="E103">
        <v>3</v>
      </c>
      <c r="F103" t="s">
        <v>13</v>
      </c>
      <c r="G103" t="s">
        <v>21</v>
      </c>
      <c r="H103" t="s">
        <v>18</v>
      </c>
      <c r="I103">
        <v>2</v>
      </c>
      <c r="J103" t="s">
        <v>16</v>
      </c>
      <c r="K103" t="s">
        <v>24</v>
      </c>
      <c r="L103">
        <v>43</v>
      </c>
      <c r="M103" t="str">
        <f t="shared" si="1"/>
        <v>Middle Age31-54</v>
      </c>
      <c r="N103" t="s">
        <v>15</v>
      </c>
    </row>
    <row r="104" spans="1:14" x14ac:dyDescent="0.3">
      <c r="A104">
        <v>24149</v>
      </c>
      <c r="B104" t="s">
        <v>36</v>
      </c>
      <c r="C104" t="s">
        <v>40</v>
      </c>
      <c r="D104" s="3">
        <v>10000</v>
      </c>
      <c r="E104">
        <v>2</v>
      </c>
      <c r="F104" t="s">
        <v>19</v>
      </c>
      <c r="G104" t="s">
        <v>25</v>
      </c>
      <c r="H104" t="s">
        <v>15</v>
      </c>
      <c r="I104">
        <v>0</v>
      </c>
      <c r="J104" t="s">
        <v>26</v>
      </c>
      <c r="K104" t="s">
        <v>17</v>
      </c>
      <c r="L104">
        <v>49</v>
      </c>
      <c r="M104" t="str">
        <f t="shared" si="1"/>
        <v>Middle Age31-54</v>
      </c>
      <c r="N104" t="s">
        <v>18</v>
      </c>
    </row>
    <row r="105" spans="1:14" x14ac:dyDescent="0.3">
      <c r="A105">
        <v>26139</v>
      </c>
      <c r="B105" t="s">
        <v>37</v>
      </c>
      <c r="C105" t="s">
        <v>40</v>
      </c>
      <c r="D105" s="3">
        <v>60000</v>
      </c>
      <c r="E105">
        <v>1</v>
      </c>
      <c r="F105" t="s">
        <v>19</v>
      </c>
      <c r="G105" t="s">
        <v>14</v>
      </c>
      <c r="H105" t="s">
        <v>15</v>
      </c>
      <c r="I105">
        <v>1</v>
      </c>
      <c r="J105" t="s">
        <v>23</v>
      </c>
      <c r="K105" t="s">
        <v>24</v>
      </c>
      <c r="L105">
        <v>45</v>
      </c>
      <c r="M105" t="str">
        <f t="shared" si="1"/>
        <v>Middle Age31-54</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Age31-54</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Adolescent0-30</v>
      </c>
      <c r="N107" t="s">
        <v>18</v>
      </c>
    </row>
    <row r="108" spans="1:14" x14ac:dyDescent="0.3">
      <c r="A108">
        <v>20430</v>
      </c>
      <c r="B108" t="s">
        <v>36</v>
      </c>
      <c r="C108" t="s">
        <v>40</v>
      </c>
      <c r="D108" s="3">
        <v>70000</v>
      </c>
      <c r="E108">
        <v>2</v>
      </c>
      <c r="F108" t="s">
        <v>19</v>
      </c>
      <c r="G108" t="s">
        <v>14</v>
      </c>
      <c r="H108" t="s">
        <v>15</v>
      </c>
      <c r="I108">
        <v>2</v>
      </c>
      <c r="J108" t="s">
        <v>23</v>
      </c>
      <c r="K108" t="s">
        <v>24</v>
      </c>
      <c r="L108">
        <v>52</v>
      </c>
      <c r="M108" t="str">
        <f t="shared" si="1"/>
        <v>Middle Age31-54</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Age31-54</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Age31-54</v>
      </c>
      <c r="N110" t="s">
        <v>15</v>
      </c>
    </row>
    <row r="111" spans="1:14" x14ac:dyDescent="0.3">
      <c r="A111">
        <v>28395</v>
      </c>
      <c r="B111" t="s">
        <v>37</v>
      </c>
      <c r="C111" t="s">
        <v>40</v>
      </c>
      <c r="D111" s="3">
        <v>40000</v>
      </c>
      <c r="E111">
        <v>0</v>
      </c>
      <c r="F111" t="s">
        <v>13</v>
      </c>
      <c r="G111" t="s">
        <v>21</v>
      </c>
      <c r="H111" t="s">
        <v>18</v>
      </c>
      <c r="I111">
        <v>0</v>
      </c>
      <c r="J111" t="s">
        <v>16</v>
      </c>
      <c r="K111" t="s">
        <v>17</v>
      </c>
      <c r="L111">
        <v>39</v>
      </c>
      <c r="M111" t="str">
        <f t="shared" si="1"/>
        <v>Middle Age31-54</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Age31-54</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Age31-54</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Age31-54</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Age31-54</v>
      </c>
      <c r="N115" t="s">
        <v>15</v>
      </c>
    </row>
    <row r="116" spans="1:14" x14ac:dyDescent="0.3">
      <c r="A116">
        <v>15030</v>
      </c>
      <c r="B116" t="s">
        <v>36</v>
      </c>
      <c r="C116" t="s">
        <v>40</v>
      </c>
      <c r="D116" s="3">
        <v>20000</v>
      </c>
      <c r="E116">
        <v>0</v>
      </c>
      <c r="F116" t="s">
        <v>13</v>
      </c>
      <c r="G116" t="s">
        <v>20</v>
      </c>
      <c r="H116" t="s">
        <v>15</v>
      </c>
      <c r="I116">
        <v>0</v>
      </c>
      <c r="J116" t="s">
        <v>16</v>
      </c>
      <c r="K116" t="s">
        <v>24</v>
      </c>
      <c r="L116">
        <v>26</v>
      </c>
      <c r="M116" t="str">
        <f t="shared" si="1"/>
        <v>Adolescent0-30</v>
      </c>
      <c r="N116" t="s">
        <v>15</v>
      </c>
    </row>
    <row r="117" spans="1:14" x14ac:dyDescent="0.3">
      <c r="A117">
        <v>24140</v>
      </c>
      <c r="B117" t="s">
        <v>37</v>
      </c>
      <c r="C117" t="s">
        <v>40</v>
      </c>
      <c r="D117" s="3">
        <v>10000</v>
      </c>
      <c r="E117">
        <v>0</v>
      </c>
      <c r="F117" t="s">
        <v>31</v>
      </c>
      <c r="G117" t="s">
        <v>25</v>
      </c>
      <c r="H117" t="s">
        <v>18</v>
      </c>
      <c r="I117">
        <v>0</v>
      </c>
      <c r="J117" t="s">
        <v>16</v>
      </c>
      <c r="K117" t="s">
        <v>17</v>
      </c>
      <c r="L117">
        <v>30</v>
      </c>
      <c r="M117" t="str">
        <f t="shared" si="1"/>
        <v>Adolescent0-30</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Age31-54</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Age31-54</v>
      </c>
      <c r="N119" t="s">
        <v>15</v>
      </c>
    </row>
    <row r="120" spans="1:14" x14ac:dyDescent="0.3">
      <c r="A120">
        <v>19914</v>
      </c>
      <c r="B120" t="s">
        <v>36</v>
      </c>
      <c r="C120" t="s">
        <v>40</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Adolescent0-30</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40</v>
      </c>
      <c r="D123" s="3">
        <v>150000</v>
      </c>
      <c r="E123">
        <v>2</v>
      </c>
      <c r="F123" t="s">
        <v>27</v>
      </c>
      <c r="G123" t="s">
        <v>21</v>
      </c>
      <c r="H123" t="s">
        <v>15</v>
      </c>
      <c r="I123">
        <v>4</v>
      </c>
      <c r="J123" t="s">
        <v>16</v>
      </c>
      <c r="K123" t="s">
        <v>17</v>
      </c>
      <c r="L123">
        <v>48</v>
      </c>
      <c r="M123" t="str">
        <f t="shared" si="1"/>
        <v>Middle Age31-54</v>
      </c>
      <c r="N123" t="s">
        <v>18</v>
      </c>
    </row>
    <row r="124" spans="1:14" x14ac:dyDescent="0.3">
      <c r="A124">
        <v>12344</v>
      </c>
      <c r="B124" t="s">
        <v>37</v>
      </c>
      <c r="C124" t="s">
        <v>39</v>
      </c>
      <c r="D124" s="3">
        <v>80000</v>
      </c>
      <c r="E124">
        <v>0</v>
      </c>
      <c r="F124" t="s">
        <v>13</v>
      </c>
      <c r="G124" t="s">
        <v>21</v>
      </c>
      <c r="H124" t="s">
        <v>18</v>
      </c>
      <c r="I124">
        <v>3</v>
      </c>
      <c r="J124" t="s">
        <v>44</v>
      </c>
      <c r="K124" t="s">
        <v>24</v>
      </c>
      <c r="L124">
        <v>31</v>
      </c>
      <c r="M124" t="str">
        <f t="shared" si="1"/>
        <v>Middle Age31-54</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Age31-54</v>
      </c>
      <c r="N126" t="s">
        <v>15</v>
      </c>
    </row>
    <row r="127" spans="1:14" x14ac:dyDescent="0.3">
      <c r="A127">
        <v>29301</v>
      </c>
      <c r="B127" t="s">
        <v>36</v>
      </c>
      <c r="C127" t="s">
        <v>40</v>
      </c>
      <c r="D127" s="3">
        <v>80000</v>
      </c>
      <c r="E127">
        <v>5</v>
      </c>
      <c r="F127" t="s">
        <v>13</v>
      </c>
      <c r="G127" t="s">
        <v>21</v>
      </c>
      <c r="H127" t="s">
        <v>15</v>
      </c>
      <c r="I127">
        <v>4</v>
      </c>
      <c r="J127" t="s">
        <v>26</v>
      </c>
      <c r="K127" t="s">
        <v>24</v>
      </c>
      <c r="L127">
        <v>40</v>
      </c>
      <c r="M127" t="str">
        <f t="shared" si="1"/>
        <v>Middle Age31-54</v>
      </c>
      <c r="N127" t="s">
        <v>18</v>
      </c>
    </row>
    <row r="128" spans="1:14" x14ac:dyDescent="0.3">
      <c r="A128">
        <v>12716</v>
      </c>
      <c r="B128" t="s">
        <v>37</v>
      </c>
      <c r="C128" t="s">
        <v>40</v>
      </c>
      <c r="D128" s="3">
        <v>30000</v>
      </c>
      <c r="E128">
        <v>0</v>
      </c>
      <c r="F128" t="s">
        <v>19</v>
      </c>
      <c r="G128" t="s">
        <v>20</v>
      </c>
      <c r="H128" t="s">
        <v>15</v>
      </c>
      <c r="I128">
        <v>1</v>
      </c>
      <c r="J128" t="s">
        <v>22</v>
      </c>
      <c r="K128" t="s">
        <v>17</v>
      </c>
      <c r="L128">
        <v>32</v>
      </c>
      <c r="M128" t="str">
        <f t="shared" si="1"/>
        <v>Middle Age31-54</v>
      </c>
      <c r="N128" t="s">
        <v>18</v>
      </c>
    </row>
    <row r="129" spans="1:14" x14ac:dyDescent="0.3">
      <c r="A129">
        <v>12472</v>
      </c>
      <c r="B129" t="s">
        <v>36</v>
      </c>
      <c r="C129" t="s">
        <v>40</v>
      </c>
      <c r="D129" s="3">
        <v>30000</v>
      </c>
      <c r="E129">
        <v>1</v>
      </c>
      <c r="F129" t="s">
        <v>13</v>
      </c>
      <c r="G129" t="s">
        <v>20</v>
      </c>
      <c r="H129" t="s">
        <v>15</v>
      </c>
      <c r="I129">
        <v>1</v>
      </c>
      <c r="J129" t="s">
        <v>22</v>
      </c>
      <c r="K129" t="s">
        <v>17</v>
      </c>
      <c r="L129">
        <v>39</v>
      </c>
      <c r="M129" t="str">
        <f t="shared" si="1"/>
        <v>Middle Age31-54</v>
      </c>
      <c r="N129" t="s">
        <v>18</v>
      </c>
    </row>
    <row r="130" spans="1:14" x14ac:dyDescent="0.3">
      <c r="A130">
        <v>20970</v>
      </c>
      <c r="B130" t="s">
        <v>37</v>
      </c>
      <c r="C130" t="s">
        <v>40</v>
      </c>
      <c r="D130" s="3">
        <v>10000</v>
      </c>
      <c r="E130">
        <v>2</v>
      </c>
      <c r="F130" t="s">
        <v>19</v>
      </c>
      <c r="G130" t="s">
        <v>25</v>
      </c>
      <c r="H130" t="s">
        <v>15</v>
      </c>
      <c r="I130">
        <v>1</v>
      </c>
      <c r="J130" t="s">
        <v>16</v>
      </c>
      <c r="K130" t="s">
        <v>17</v>
      </c>
      <c r="L130">
        <v>52</v>
      </c>
      <c r="M130" t="str">
        <f t="shared" si="1"/>
        <v>Middle Age31-54</v>
      </c>
      <c r="N130" t="s">
        <v>15</v>
      </c>
    </row>
    <row r="131" spans="1:14" x14ac:dyDescent="0.3">
      <c r="A131">
        <v>26818</v>
      </c>
      <c r="B131" t="s">
        <v>37</v>
      </c>
      <c r="C131" t="s">
        <v>40</v>
      </c>
      <c r="D131" s="3">
        <v>10000</v>
      </c>
      <c r="E131">
        <v>3</v>
      </c>
      <c r="F131" t="s">
        <v>27</v>
      </c>
      <c r="G131" t="s">
        <v>25</v>
      </c>
      <c r="H131" t="s">
        <v>15</v>
      </c>
      <c r="I131">
        <v>1</v>
      </c>
      <c r="J131" t="s">
        <v>16</v>
      </c>
      <c r="K131" t="s">
        <v>17</v>
      </c>
      <c r="L131">
        <v>39</v>
      </c>
      <c r="M131" t="str">
        <f t="shared" ref="M131:M194" si="2">IF(L131&gt;55, "Old 55+", IF(L131&gt;=31, "Middle Age31-54",IF(L131&lt;31,"Adolescent0-30","Invalid")))</f>
        <v>Middle Age31-54</v>
      </c>
      <c r="N131" t="s">
        <v>15</v>
      </c>
    </row>
    <row r="132" spans="1:14" x14ac:dyDescent="0.3">
      <c r="A132">
        <v>12993</v>
      </c>
      <c r="B132" t="s">
        <v>36</v>
      </c>
      <c r="C132" t="s">
        <v>40</v>
      </c>
      <c r="D132" s="3">
        <v>60000</v>
      </c>
      <c r="E132">
        <v>2</v>
      </c>
      <c r="F132" t="s">
        <v>13</v>
      </c>
      <c r="G132" t="s">
        <v>21</v>
      </c>
      <c r="H132" t="s">
        <v>15</v>
      </c>
      <c r="I132">
        <v>1</v>
      </c>
      <c r="J132" t="s">
        <v>22</v>
      </c>
      <c r="K132" t="s">
        <v>24</v>
      </c>
      <c r="L132">
        <v>37</v>
      </c>
      <c r="M132" t="str">
        <f t="shared" si="2"/>
        <v>Middle Age31-54</v>
      </c>
      <c r="N132" t="s">
        <v>18</v>
      </c>
    </row>
    <row r="133" spans="1:14" x14ac:dyDescent="0.3">
      <c r="A133">
        <v>14192</v>
      </c>
      <c r="B133" t="s">
        <v>36</v>
      </c>
      <c r="C133" t="s">
        <v>40</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40</v>
      </c>
      <c r="D134" s="3">
        <v>40000</v>
      </c>
      <c r="E134">
        <v>0</v>
      </c>
      <c r="F134" t="s">
        <v>13</v>
      </c>
      <c r="G134" t="s">
        <v>21</v>
      </c>
      <c r="H134" t="s">
        <v>15</v>
      </c>
      <c r="I134">
        <v>0</v>
      </c>
      <c r="J134" t="s">
        <v>16</v>
      </c>
      <c r="K134" t="s">
        <v>17</v>
      </c>
      <c r="L134">
        <v>40</v>
      </c>
      <c r="M134" t="str">
        <f t="shared" si="2"/>
        <v>Middle Age31-54</v>
      </c>
      <c r="N134" t="s">
        <v>15</v>
      </c>
    </row>
    <row r="135" spans="1:14" x14ac:dyDescent="0.3">
      <c r="A135">
        <v>26796</v>
      </c>
      <c r="B135" t="s">
        <v>37</v>
      </c>
      <c r="C135" t="s">
        <v>40</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Age31-54</v>
      </c>
      <c r="N136" t="s">
        <v>18</v>
      </c>
    </row>
    <row r="137" spans="1:14" x14ac:dyDescent="0.3">
      <c r="A137">
        <v>12234</v>
      </c>
      <c r="B137" t="s">
        <v>36</v>
      </c>
      <c r="C137" t="s">
        <v>40</v>
      </c>
      <c r="D137" s="3">
        <v>10000</v>
      </c>
      <c r="E137">
        <v>2</v>
      </c>
      <c r="F137" t="s">
        <v>19</v>
      </c>
      <c r="G137" t="s">
        <v>25</v>
      </c>
      <c r="H137" t="s">
        <v>15</v>
      </c>
      <c r="I137">
        <v>1</v>
      </c>
      <c r="J137" t="s">
        <v>22</v>
      </c>
      <c r="K137" t="s">
        <v>17</v>
      </c>
      <c r="L137">
        <v>52</v>
      </c>
      <c r="M137" t="str">
        <f t="shared" si="2"/>
        <v>Middle Age31-54</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Age31-54</v>
      </c>
      <c r="N138" t="s">
        <v>15</v>
      </c>
    </row>
    <row r="139" spans="1:14" x14ac:dyDescent="0.3">
      <c r="A139">
        <v>17994</v>
      </c>
      <c r="B139" t="s">
        <v>37</v>
      </c>
      <c r="C139" t="s">
        <v>40</v>
      </c>
      <c r="D139" s="3">
        <v>20000</v>
      </c>
      <c r="E139">
        <v>2</v>
      </c>
      <c r="F139" t="s">
        <v>27</v>
      </c>
      <c r="G139" t="s">
        <v>25</v>
      </c>
      <c r="H139" t="s">
        <v>15</v>
      </c>
      <c r="I139">
        <v>2</v>
      </c>
      <c r="J139" t="s">
        <v>16</v>
      </c>
      <c r="K139" t="s">
        <v>17</v>
      </c>
      <c r="L139">
        <v>42</v>
      </c>
      <c r="M139" t="str">
        <f t="shared" si="2"/>
        <v>Middle Age31-54</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Age31-54</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40</v>
      </c>
      <c r="D142" s="3">
        <v>40000</v>
      </c>
      <c r="E142">
        <v>0</v>
      </c>
      <c r="F142" t="s">
        <v>13</v>
      </c>
      <c r="G142" t="s">
        <v>21</v>
      </c>
      <c r="H142" t="s">
        <v>18</v>
      </c>
      <c r="I142">
        <v>0</v>
      </c>
      <c r="J142" t="s">
        <v>16</v>
      </c>
      <c r="K142" t="s">
        <v>17</v>
      </c>
      <c r="L142">
        <v>40</v>
      </c>
      <c r="M142" t="str">
        <f t="shared" si="2"/>
        <v>Middle Age31-54</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Adolescent0-30</v>
      </c>
      <c r="N143" t="s">
        <v>15</v>
      </c>
    </row>
    <row r="144" spans="1:14" x14ac:dyDescent="0.3">
      <c r="A144">
        <v>14832</v>
      </c>
      <c r="B144" t="s">
        <v>36</v>
      </c>
      <c r="C144" t="s">
        <v>40</v>
      </c>
      <c r="D144" s="3">
        <v>40000</v>
      </c>
      <c r="E144">
        <v>1</v>
      </c>
      <c r="F144" t="s">
        <v>13</v>
      </c>
      <c r="G144" t="s">
        <v>14</v>
      </c>
      <c r="H144" t="s">
        <v>15</v>
      </c>
      <c r="I144">
        <v>0</v>
      </c>
      <c r="J144" t="s">
        <v>16</v>
      </c>
      <c r="K144" t="s">
        <v>17</v>
      </c>
      <c r="L144">
        <v>42</v>
      </c>
      <c r="M144" t="str">
        <f t="shared" si="2"/>
        <v>Middle Age31-54</v>
      </c>
      <c r="N144" t="s">
        <v>15</v>
      </c>
    </row>
    <row r="145" spans="1:14" x14ac:dyDescent="0.3">
      <c r="A145">
        <v>16614</v>
      </c>
      <c r="B145" t="s">
        <v>36</v>
      </c>
      <c r="C145" t="s">
        <v>39</v>
      </c>
      <c r="D145" s="3">
        <v>80000</v>
      </c>
      <c r="E145">
        <v>0</v>
      </c>
      <c r="F145" t="s">
        <v>13</v>
      </c>
      <c r="G145" t="s">
        <v>21</v>
      </c>
      <c r="H145" t="s">
        <v>15</v>
      </c>
      <c r="I145">
        <v>3</v>
      </c>
      <c r="J145" t="s">
        <v>44</v>
      </c>
      <c r="K145" t="s">
        <v>24</v>
      </c>
      <c r="L145">
        <v>32</v>
      </c>
      <c r="M145" t="str">
        <f t="shared" si="2"/>
        <v>Middle Age31-54</v>
      </c>
      <c r="N145" t="s">
        <v>18</v>
      </c>
    </row>
    <row r="146" spans="1:14" x14ac:dyDescent="0.3">
      <c r="A146">
        <v>20877</v>
      </c>
      <c r="B146" t="s">
        <v>37</v>
      </c>
      <c r="C146" t="s">
        <v>40</v>
      </c>
      <c r="D146" s="3">
        <v>30000</v>
      </c>
      <c r="E146">
        <v>1</v>
      </c>
      <c r="F146" t="s">
        <v>13</v>
      </c>
      <c r="G146" t="s">
        <v>20</v>
      </c>
      <c r="H146" t="s">
        <v>15</v>
      </c>
      <c r="I146">
        <v>0</v>
      </c>
      <c r="J146" t="s">
        <v>26</v>
      </c>
      <c r="K146" t="s">
        <v>17</v>
      </c>
      <c r="L146">
        <v>37</v>
      </c>
      <c r="M146" t="str">
        <f t="shared" si="2"/>
        <v>Middle Age31-54</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Age31-54</v>
      </c>
      <c r="N147" t="s">
        <v>18</v>
      </c>
    </row>
    <row r="148" spans="1:14" x14ac:dyDescent="0.3">
      <c r="A148">
        <v>22464</v>
      </c>
      <c r="B148" t="s">
        <v>36</v>
      </c>
      <c r="C148" t="s">
        <v>40</v>
      </c>
      <c r="D148" s="3">
        <v>40000</v>
      </c>
      <c r="E148">
        <v>0</v>
      </c>
      <c r="F148" t="s">
        <v>31</v>
      </c>
      <c r="G148" t="s">
        <v>20</v>
      </c>
      <c r="H148" t="s">
        <v>15</v>
      </c>
      <c r="I148">
        <v>0</v>
      </c>
      <c r="J148" t="s">
        <v>16</v>
      </c>
      <c r="K148" t="s">
        <v>17</v>
      </c>
      <c r="L148">
        <v>37</v>
      </c>
      <c r="M148" t="str">
        <f t="shared" si="2"/>
        <v>Middle Age31-54</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Age31-54</v>
      </c>
      <c r="N149" t="s">
        <v>15</v>
      </c>
    </row>
    <row r="150" spans="1:14" x14ac:dyDescent="0.3">
      <c r="A150">
        <v>19675</v>
      </c>
      <c r="B150" t="s">
        <v>36</v>
      </c>
      <c r="C150" t="s">
        <v>40</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40</v>
      </c>
      <c r="D151" s="3">
        <v>30000</v>
      </c>
      <c r="E151">
        <v>0</v>
      </c>
      <c r="F151" t="s">
        <v>19</v>
      </c>
      <c r="G151" t="s">
        <v>20</v>
      </c>
      <c r="H151" t="s">
        <v>18</v>
      </c>
      <c r="I151">
        <v>1</v>
      </c>
      <c r="J151" t="s">
        <v>26</v>
      </c>
      <c r="K151" t="s">
        <v>17</v>
      </c>
      <c r="L151">
        <v>27</v>
      </c>
      <c r="M151" t="str">
        <f t="shared" si="2"/>
        <v>Adolescent0-30</v>
      </c>
      <c r="N151" t="s">
        <v>18</v>
      </c>
    </row>
    <row r="152" spans="1:14" x14ac:dyDescent="0.3">
      <c r="A152">
        <v>26154</v>
      </c>
      <c r="B152" t="s">
        <v>36</v>
      </c>
      <c r="C152" t="s">
        <v>40</v>
      </c>
      <c r="D152" s="3">
        <v>60000</v>
      </c>
      <c r="E152">
        <v>1</v>
      </c>
      <c r="F152" t="s">
        <v>19</v>
      </c>
      <c r="G152" t="s">
        <v>14</v>
      </c>
      <c r="H152" t="s">
        <v>15</v>
      </c>
      <c r="I152">
        <v>1</v>
      </c>
      <c r="J152" t="s">
        <v>23</v>
      </c>
      <c r="K152" t="s">
        <v>24</v>
      </c>
      <c r="L152">
        <v>43</v>
      </c>
      <c r="M152" t="str">
        <f t="shared" si="2"/>
        <v>Middle Age31-54</v>
      </c>
      <c r="N152" t="s">
        <v>15</v>
      </c>
    </row>
    <row r="153" spans="1:14" x14ac:dyDescent="0.3">
      <c r="A153">
        <v>29117</v>
      </c>
      <c r="B153" t="s">
        <v>37</v>
      </c>
      <c r="C153" t="s">
        <v>40</v>
      </c>
      <c r="D153" s="3">
        <v>100000</v>
      </c>
      <c r="E153">
        <v>1</v>
      </c>
      <c r="F153" t="s">
        <v>13</v>
      </c>
      <c r="G153" t="s">
        <v>28</v>
      </c>
      <c r="H153" t="s">
        <v>18</v>
      </c>
      <c r="I153">
        <v>3</v>
      </c>
      <c r="J153" t="s">
        <v>16</v>
      </c>
      <c r="K153" t="s">
        <v>24</v>
      </c>
      <c r="L153">
        <v>48</v>
      </c>
      <c r="M153" t="str">
        <f t="shared" si="2"/>
        <v>Middle Age31-54</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Age31-54</v>
      </c>
      <c r="N154" t="s">
        <v>18</v>
      </c>
    </row>
    <row r="155" spans="1:14" x14ac:dyDescent="0.3">
      <c r="A155">
        <v>25058</v>
      </c>
      <c r="B155" t="s">
        <v>36</v>
      </c>
      <c r="C155" t="s">
        <v>40</v>
      </c>
      <c r="D155" s="3">
        <v>100000</v>
      </c>
      <c r="E155">
        <v>1</v>
      </c>
      <c r="F155" t="s">
        <v>13</v>
      </c>
      <c r="G155" t="s">
        <v>28</v>
      </c>
      <c r="H155" t="s">
        <v>15</v>
      </c>
      <c r="I155">
        <v>3</v>
      </c>
      <c r="J155" t="s">
        <v>22</v>
      </c>
      <c r="K155" t="s">
        <v>24</v>
      </c>
      <c r="L155">
        <v>47</v>
      </c>
      <c r="M155" t="str">
        <f t="shared" si="2"/>
        <v>Middle Age31-54</v>
      </c>
      <c r="N155" t="s">
        <v>18</v>
      </c>
    </row>
    <row r="156" spans="1:14" x14ac:dyDescent="0.3">
      <c r="A156">
        <v>23426</v>
      </c>
      <c r="B156" t="s">
        <v>37</v>
      </c>
      <c r="C156" t="s">
        <v>40</v>
      </c>
      <c r="D156" s="3">
        <v>80000</v>
      </c>
      <c r="E156">
        <v>5</v>
      </c>
      <c r="F156" t="s">
        <v>31</v>
      </c>
      <c r="G156" t="s">
        <v>28</v>
      </c>
      <c r="H156" t="s">
        <v>15</v>
      </c>
      <c r="I156">
        <v>3</v>
      </c>
      <c r="J156" t="s">
        <v>16</v>
      </c>
      <c r="K156" t="s">
        <v>24</v>
      </c>
      <c r="L156">
        <v>40</v>
      </c>
      <c r="M156" t="str">
        <f t="shared" si="2"/>
        <v>Middle Age31-54</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Age31-54</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40</v>
      </c>
      <c r="D159" s="3">
        <v>10000</v>
      </c>
      <c r="E159">
        <v>2</v>
      </c>
      <c r="F159" t="s">
        <v>19</v>
      </c>
      <c r="G159" t="s">
        <v>25</v>
      </c>
      <c r="H159" t="s">
        <v>18</v>
      </c>
      <c r="I159">
        <v>0</v>
      </c>
      <c r="J159" t="s">
        <v>16</v>
      </c>
      <c r="K159" t="s">
        <v>17</v>
      </c>
      <c r="L159">
        <v>50</v>
      </c>
      <c r="M159" t="str">
        <f t="shared" si="2"/>
        <v>Middle Age31-54</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Age31-54</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Age31-54</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Age31-54</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Age31-54</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Age31-54</v>
      </c>
      <c r="N164" t="s">
        <v>15</v>
      </c>
    </row>
    <row r="165" spans="1:14" x14ac:dyDescent="0.3">
      <c r="A165">
        <v>24279</v>
      </c>
      <c r="B165" t="s">
        <v>37</v>
      </c>
      <c r="C165" t="s">
        <v>40</v>
      </c>
      <c r="D165" s="3">
        <v>40000</v>
      </c>
      <c r="E165">
        <v>2</v>
      </c>
      <c r="F165" t="s">
        <v>19</v>
      </c>
      <c r="G165" t="s">
        <v>14</v>
      </c>
      <c r="H165" t="s">
        <v>18</v>
      </c>
      <c r="I165">
        <v>2</v>
      </c>
      <c r="J165" t="s">
        <v>26</v>
      </c>
      <c r="K165" t="s">
        <v>24</v>
      </c>
      <c r="L165">
        <v>52</v>
      </c>
      <c r="M165" t="str">
        <f t="shared" si="2"/>
        <v>Middle Age31-54</v>
      </c>
      <c r="N165" t="s">
        <v>18</v>
      </c>
    </row>
    <row r="166" spans="1:14" x14ac:dyDescent="0.3">
      <c r="A166">
        <v>22402</v>
      </c>
      <c r="B166" t="s">
        <v>36</v>
      </c>
      <c r="C166" t="s">
        <v>40</v>
      </c>
      <c r="D166" s="3">
        <v>10000</v>
      </c>
      <c r="E166">
        <v>0</v>
      </c>
      <c r="F166" t="s">
        <v>19</v>
      </c>
      <c r="G166" t="s">
        <v>25</v>
      </c>
      <c r="H166" t="s">
        <v>15</v>
      </c>
      <c r="I166">
        <v>1</v>
      </c>
      <c r="J166" t="s">
        <v>22</v>
      </c>
      <c r="K166" t="s">
        <v>24</v>
      </c>
      <c r="L166">
        <v>25</v>
      </c>
      <c r="M166" t="str">
        <f t="shared" si="2"/>
        <v>Adolescent0-30</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Adolescent0-30</v>
      </c>
      <c r="N167" t="s">
        <v>18</v>
      </c>
    </row>
    <row r="168" spans="1:14" x14ac:dyDescent="0.3">
      <c r="A168">
        <v>26757</v>
      </c>
      <c r="B168" t="s">
        <v>37</v>
      </c>
      <c r="C168" t="s">
        <v>40</v>
      </c>
      <c r="D168" s="3">
        <v>90000</v>
      </c>
      <c r="E168">
        <v>1</v>
      </c>
      <c r="F168" t="s">
        <v>13</v>
      </c>
      <c r="G168" t="s">
        <v>21</v>
      </c>
      <c r="H168" t="s">
        <v>15</v>
      </c>
      <c r="I168">
        <v>1</v>
      </c>
      <c r="J168" t="s">
        <v>22</v>
      </c>
      <c r="K168" t="s">
        <v>24</v>
      </c>
      <c r="L168">
        <v>47</v>
      </c>
      <c r="M168" t="str">
        <f t="shared" si="2"/>
        <v>Middle Age31-54</v>
      </c>
      <c r="N168" t="s">
        <v>15</v>
      </c>
    </row>
    <row r="169" spans="1:14" x14ac:dyDescent="0.3">
      <c r="A169">
        <v>14233</v>
      </c>
      <c r="B169" t="s">
        <v>37</v>
      </c>
      <c r="C169" t="s">
        <v>40</v>
      </c>
      <c r="D169" s="3">
        <v>100000</v>
      </c>
      <c r="E169">
        <v>0</v>
      </c>
      <c r="F169" t="s">
        <v>27</v>
      </c>
      <c r="G169" t="s">
        <v>28</v>
      </c>
      <c r="H169" t="s">
        <v>15</v>
      </c>
      <c r="I169">
        <v>3</v>
      </c>
      <c r="J169" t="s">
        <v>44</v>
      </c>
      <c r="K169" t="s">
        <v>24</v>
      </c>
      <c r="L169">
        <v>35</v>
      </c>
      <c r="M169" t="str">
        <f t="shared" si="2"/>
        <v>Middle Age31-54</v>
      </c>
      <c r="N169" t="s">
        <v>18</v>
      </c>
    </row>
    <row r="170" spans="1:14" x14ac:dyDescent="0.3">
      <c r="A170">
        <v>14058</v>
      </c>
      <c r="B170" t="s">
        <v>37</v>
      </c>
      <c r="C170" t="s">
        <v>40</v>
      </c>
      <c r="D170" s="3">
        <v>70000</v>
      </c>
      <c r="E170">
        <v>0</v>
      </c>
      <c r="F170" t="s">
        <v>13</v>
      </c>
      <c r="G170" t="s">
        <v>21</v>
      </c>
      <c r="H170" t="s">
        <v>18</v>
      </c>
      <c r="I170">
        <v>1</v>
      </c>
      <c r="J170" t="s">
        <v>23</v>
      </c>
      <c r="K170" t="s">
        <v>24</v>
      </c>
      <c r="L170">
        <v>41</v>
      </c>
      <c r="M170" t="str">
        <f t="shared" si="2"/>
        <v>Middle Age31-54</v>
      </c>
      <c r="N170" t="s">
        <v>15</v>
      </c>
    </row>
    <row r="171" spans="1:14" x14ac:dyDescent="0.3">
      <c r="A171">
        <v>12273</v>
      </c>
      <c r="B171" t="s">
        <v>36</v>
      </c>
      <c r="C171" t="s">
        <v>40</v>
      </c>
      <c r="D171" s="3">
        <v>30000</v>
      </c>
      <c r="E171">
        <v>1</v>
      </c>
      <c r="F171" t="s">
        <v>13</v>
      </c>
      <c r="G171" t="s">
        <v>20</v>
      </c>
      <c r="H171" t="s">
        <v>15</v>
      </c>
      <c r="I171">
        <v>0</v>
      </c>
      <c r="J171" t="s">
        <v>16</v>
      </c>
      <c r="K171" t="s">
        <v>17</v>
      </c>
      <c r="L171">
        <v>47</v>
      </c>
      <c r="M171" t="str">
        <f t="shared" si="2"/>
        <v>Middle Age31-54</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40</v>
      </c>
      <c r="D174" s="3">
        <v>10000</v>
      </c>
      <c r="E174">
        <v>0</v>
      </c>
      <c r="F174" t="s">
        <v>29</v>
      </c>
      <c r="G174" t="s">
        <v>25</v>
      </c>
      <c r="H174" t="s">
        <v>18</v>
      </c>
      <c r="I174">
        <v>2</v>
      </c>
      <c r="J174" t="s">
        <v>16</v>
      </c>
      <c r="K174" t="s">
        <v>17</v>
      </c>
      <c r="L174">
        <v>33</v>
      </c>
      <c r="M174" t="str">
        <f t="shared" si="2"/>
        <v>Middle Age31-54</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Adolescent0-30</v>
      </c>
      <c r="N175" t="s">
        <v>18</v>
      </c>
    </row>
    <row r="176" spans="1:14" x14ac:dyDescent="0.3">
      <c r="A176">
        <v>19442</v>
      </c>
      <c r="B176" t="s">
        <v>37</v>
      </c>
      <c r="C176" t="s">
        <v>40</v>
      </c>
      <c r="D176" s="3">
        <v>50000</v>
      </c>
      <c r="E176">
        <v>0</v>
      </c>
      <c r="F176" t="s">
        <v>31</v>
      </c>
      <c r="G176" t="s">
        <v>14</v>
      </c>
      <c r="H176" t="s">
        <v>15</v>
      </c>
      <c r="I176">
        <v>0</v>
      </c>
      <c r="J176" t="s">
        <v>16</v>
      </c>
      <c r="K176" t="s">
        <v>17</v>
      </c>
      <c r="L176">
        <v>37</v>
      </c>
      <c r="M176" t="str">
        <f t="shared" si="2"/>
        <v>Middle Age31-54</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Age31-54</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Adolescent0-30</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Age31-54</v>
      </c>
      <c r="N179" t="s">
        <v>18</v>
      </c>
    </row>
    <row r="180" spans="1:14" x14ac:dyDescent="0.3">
      <c r="A180">
        <v>14191</v>
      </c>
      <c r="B180" t="s">
        <v>36</v>
      </c>
      <c r="C180" t="s">
        <v>40</v>
      </c>
      <c r="D180" s="3">
        <v>160000</v>
      </c>
      <c r="E180">
        <v>4</v>
      </c>
      <c r="F180" t="s">
        <v>19</v>
      </c>
      <c r="G180" t="s">
        <v>21</v>
      </c>
      <c r="H180" t="s">
        <v>18</v>
      </c>
      <c r="I180">
        <v>2</v>
      </c>
      <c r="J180" t="s">
        <v>44</v>
      </c>
      <c r="K180" t="s">
        <v>17</v>
      </c>
      <c r="L180">
        <v>55</v>
      </c>
      <c r="M180" t="str">
        <f t="shared" si="2"/>
        <v>Middle Age31-54</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Age31-54</v>
      </c>
      <c r="N181" t="s">
        <v>15</v>
      </c>
    </row>
    <row r="182" spans="1:14" x14ac:dyDescent="0.3">
      <c r="A182">
        <v>25529</v>
      </c>
      <c r="B182" t="s">
        <v>37</v>
      </c>
      <c r="C182" t="s">
        <v>40</v>
      </c>
      <c r="D182" s="3">
        <v>10000</v>
      </c>
      <c r="E182">
        <v>1</v>
      </c>
      <c r="F182" t="s">
        <v>31</v>
      </c>
      <c r="G182" t="s">
        <v>25</v>
      </c>
      <c r="H182" t="s">
        <v>15</v>
      </c>
      <c r="I182">
        <v>0</v>
      </c>
      <c r="J182" t="s">
        <v>16</v>
      </c>
      <c r="K182" t="s">
        <v>17</v>
      </c>
      <c r="L182">
        <v>44</v>
      </c>
      <c r="M182" t="str">
        <f t="shared" si="2"/>
        <v>Middle Age31-54</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Age31-54</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Age31-54</v>
      </c>
      <c r="N184" t="s">
        <v>18</v>
      </c>
    </row>
    <row r="185" spans="1:14" x14ac:dyDescent="0.3">
      <c r="A185">
        <v>15265</v>
      </c>
      <c r="B185" t="s">
        <v>37</v>
      </c>
      <c r="C185" t="s">
        <v>40</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39</v>
      </c>
      <c r="D186" s="3">
        <v>130000</v>
      </c>
      <c r="E186">
        <v>4</v>
      </c>
      <c r="F186" t="s">
        <v>27</v>
      </c>
      <c r="G186" t="s">
        <v>28</v>
      </c>
      <c r="H186" t="s">
        <v>18</v>
      </c>
      <c r="I186">
        <v>4</v>
      </c>
      <c r="J186" t="s">
        <v>44</v>
      </c>
      <c r="K186" t="s">
        <v>17</v>
      </c>
      <c r="L186">
        <v>58</v>
      </c>
      <c r="M186" t="str">
        <f t="shared" si="2"/>
        <v>Old 55+</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Age31-54</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40</v>
      </c>
      <c r="D189" s="3">
        <v>80000</v>
      </c>
      <c r="E189">
        <v>5</v>
      </c>
      <c r="F189" t="s">
        <v>19</v>
      </c>
      <c r="G189" t="s">
        <v>21</v>
      </c>
      <c r="H189" t="s">
        <v>18</v>
      </c>
      <c r="I189">
        <v>2</v>
      </c>
      <c r="J189" t="s">
        <v>44</v>
      </c>
      <c r="K189" t="s">
        <v>17</v>
      </c>
      <c r="L189">
        <v>59</v>
      </c>
      <c r="M189" t="str">
        <f t="shared" si="2"/>
        <v>Old 55+</v>
      </c>
      <c r="N189" t="s">
        <v>18</v>
      </c>
    </row>
    <row r="190" spans="1:14" x14ac:dyDescent="0.3">
      <c r="A190">
        <v>20606</v>
      </c>
      <c r="B190" t="s">
        <v>36</v>
      </c>
      <c r="C190" t="s">
        <v>39</v>
      </c>
      <c r="D190" s="3">
        <v>70000</v>
      </c>
      <c r="E190">
        <v>0</v>
      </c>
      <c r="F190" t="s">
        <v>13</v>
      </c>
      <c r="G190" t="s">
        <v>21</v>
      </c>
      <c r="H190" t="s">
        <v>15</v>
      </c>
      <c r="I190">
        <v>4</v>
      </c>
      <c r="J190" t="s">
        <v>44</v>
      </c>
      <c r="K190" t="s">
        <v>24</v>
      </c>
      <c r="L190">
        <v>32</v>
      </c>
      <c r="M190" t="str">
        <f t="shared" si="2"/>
        <v>Middle Age31-54</v>
      </c>
      <c r="N190" t="s">
        <v>15</v>
      </c>
    </row>
    <row r="191" spans="1:14" x14ac:dyDescent="0.3">
      <c r="A191">
        <v>19482</v>
      </c>
      <c r="B191" t="s">
        <v>36</v>
      </c>
      <c r="C191" t="s">
        <v>40</v>
      </c>
      <c r="D191" s="3">
        <v>30000</v>
      </c>
      <c r="E191">
        <v>1</v>
      </c>
      <c r="F191" t="s">
        <v>19</v>
      </c>
      <c r="G191" t="s">
        <v>20</v>
      </c>
      <c r="H191" t="s">
        <v>15</v>
      </c>
      <c r="I191">
        <v>1</v>
      </c>
      <c r="J191" t="s">
        <v>16</v>
      </c>
      <c r="K191" t="s">
        <v>17</v>
      </c>
      <c r="L191">
        <v>44</v>
      </c>
      <c r="M191" t="str">
        <f t="shared" si="2"/>
        <v>Middle Age31-54</v>
      </c>
      <c r="N191" t="s">
        <v>15</v>
      </c>
    </row>
    <row r="192" spans="1:14" x14ac:dyDescent="0.3">
      <c r="A192">
        <v>16489</v>
      </c>
      <c r="B192" t="s">
        <v>36</v>
      </c>
      <c r="C192" t="s">
        <v>40</v>
      </c>
      <c r="D192" s="3">
        <v>30000</v>
      </c>
      <c r="E192">
        <v>3</v>
      </c>
      <c r="F192" t="s">
        <v>27</v>
      </c>
      <c r="G192" t="s">
        <v>14</v>
      </c>
      <c r="H192" t="s">
        <v>15</v>
      </c>
      <c r="I192">
        <v>2</v>
      </c>
      <c r="J192" t="s">
        <v>23</v>
      </c>
      <c r="K192" t="s">
        <v>24</v>
      </c>
      <c r="L192">
        <v>55</v>
      </c>
      <c r="M192" t="str">
        <f t="shared" si="2"/>
        <v>Middle Age31-54</v>
      </c>
      <c r="N192" t="s">
        <v>18</v>
      </c>
    </row>
    <row r="193" spans="1:14" x14ac:dyDescent="0.3">
      <c r="A193">
        <v>26944</v>
      </c>
      <c r="B193" t="s">
        <v>37</v>
      </c>
      <c r="C193" t="s">
        <v>40</v>
      </c>
      <c r="D193" s="3">
        <v>90000</v>
      </c>
      <c r="E193">
        <v>2</v>
      </c>
      <c r="F193" t="s">
        <v>27</v>
      </c>
      <c r="G193" t="s">
        <v>25</v>
      </c>
      <c r="H193" t="s">
        <v>15</v>
      </c>
      <c r="I193">
        <v>0</v>
      </c>
      <c r="J193" t="s">
        <v>16</v>
      </c>
      <c r="K193" t="s">
        <v>17</v>
      </c>
      <c r="L193">
        <v>36</v>
      </c>
      <c r="M193" t="str">
        <f t="shared" si="2"/>
        <v>Middle Age31-54</v>
      </c>
      <c r="N193" t="s">
        <v>15</v>
      </c>
    </row>
    <row r="194" spans="1:14" x14ac:dyDescent="0.3">
      <c r="A194">
        <v>15682</v>
      </c>
      <c r="B194" t="s">
        <v>37</v>
      </c>
      <c r="C194" t="s">
        <v>39</v>
      </c>
      <c r="D194" s="3">
        <v>80000</v>
      </c>
      <c r="E194">
        <v>5</v>
      </c>
      <c r="F194" t="s">
        <v>13</v>
      </c>
      <c r="G194" t="s">
        <v>28</v>
      </c>
      <c r="H194" t="s">
        <v>15</v>
      </c>
      <c r="I194">
        <v>2</v>
      </c>
      <c r="J194" t="s">
        <v>44</v>
      </c>
      <c r="K194" t="s">
        <v>17</v>
      </c>
      <c r="L194">
        <v>62</v>
      </c>
      <c r="M194" t="str">
        <f t="shared" si="2"/>
        <v>Old 55+</v>
      </c>
      <c r="N194" t="s">
        <v>18</v>
      </c>
    </row>
    <row r="195" spans="1:14" x14ac:dyDescent="0.3">
      <c r="A195">
        <v>26032</v>
      </c>
      <c r="B195" t="s">
        <v>36</v>
      </c>
      <c r="C195" t="s">
        <v>39</v>
      </c>
      <c r="D195" s="3">
        <v>70000</v>
      </c>
      <c r="E195">
        <v>5</v>
      </c>
      <c r="F195" t="s">
        <v>13</v>
      </c>
      <c r="G195" t="s">
        <v>21</v>
      </c>
      <c r="H195" t="s">
        <v>15</v>
      </c>
      <c r="I195">
        <v>4</v>
      </c>
      <c r="J195" t="s">
        <v>44</v>
      </c>
      <c r="K195" t="s">
        <v>24</v>
      </c>
      <c r="L195">
        <v>41</v>
      </c>
      <c r="M195" t="str">
        <f t="shared" ref="M195:M258" si="3">IF(L195&gt;55, "Old 55+", IF(L195&gt;=31, "Middle Age31-54",IF(L195&lt;31,"Adolescent0-30","Invalid")))</f>
        <v>Middle Age31-54</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Age31-54</v>
      </c>
      <c r="N196" t="s">
        <v>18</v>
      </c>
    </row>
    <row r="197" spans="1:14" x14ac:dyDescent="0.3">
      <c r="A197">
        <v>25559</v>
      </c>
      <c r="B197" t="s">
        <v>37</v>
      </c>
      <c r="C197" t="s">
        <v>40</v>
      </c>
      <c r="D197" s="3">
        <v>20000</v>
      </c>
      <c r="E197">
        <v>0</v>
      </c>
      <c r="F197" t="s">
        <v>13</v>
      </c>
      <c r="G197" t="s">
        <v>20</v>
      </c>
      <c r="H197" t="s">
        <v>15</v>
      </c>
      <c r="I197">
        <v>0</v>
      </c>
      <c r="J197" t="s">
        <v>16</v>
      </c>
      <c r="K197" t="s">
        <v>24</v>
      </c>
      <c r="L197">
        <v>25</v>
      </c>
      <c r="M197" t="str">
        <f t="shared" si="3"/>
        <v>Adolescent0-30</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Age31-54</v>
      </c>
      <c r="N198" t="s">
        <v>18</v>
      </c>
    </row>
    <row r="199" spans="1:14" x14ac:dyDescent="0.3">
      <c r="A199">
        <v>11147</v>
      </c>
      <c r="B199" t="s">
        <v>36</v>
      </c>
      <c r="C199" t="s">
        <v>40</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Age31-54</v>
      </c>
      <c r="N200" t="s">
        <v>15</v>
      </c>
    </row>
    <row r="201" spans="1:14" x14ac:dyDescent="0.3">
      <c r="A201">
        <v>11453</v>
      </c>
      <c r="B201" t="s">
        <v>37</v>
      </c>
      <c r="C201" t="s">
        <v>40</v>
      </c>
      <c r="D201" s="3">
        <v>80000</v>
      </c>
      <c r="E201">
        <v>0</v>
      </c>
      <c r="F201" t="s">
        <v>13</v>
      </c>
      <c r="G201" t="s">
        <v>21</v>
      </c>
      <c r="H201" t="s">
        <v>18</v>
      </c>
      <c r="I201">
        <v>3</v>
      </c>
      <c r="J201" t="s">
        <v>44</v>
      </c>
      <c r="K201" t="s">
        <v>24</v>
      </c>
      <c r="L201">
        <v>33</v>
      </c>
      <c r="M201" t="str">
        <f t="shared" si="3"/>
        <v>Middle Age31-54</v>
      </c>
      <c r="N201" t="s">
        <v>15</v>
      </c>
    </row>
    <row r="202" spans="1:14" x14ac:dyDescent="0.3">
      <c r="A202">
        <v>24584</v>
      </c>
      <c r="B202" t="s">
        <v>37</v>
      </c>
      <c r="C202" t="s">
        <v>40</v>
      </c>
      <c r="D202" s="3">
        <v>60000</v>
      </c>
      <c r="E202">
        <v>0</v>
      </c>
      <c r="F202" t="s">
        <v>13</v>
      </c>
      <c r="G202" t="s">
        <v>21</v>
      </c>
      <c r="H202" t="s">
        <v>18</v>
      </c>
      <c r="I202">
        <v>3</v>
      </c>
      <c r="J202" t="s">
        <v>22</v>
      </c>
      <c r="K202" t="s">
        <v>24</v>
      </c>
      <c r="L202">
        <v>31</v>
      </c>
      <c r="M202" t="str">
        <f t="shared" si="3"/>
        <v>Middle Age31-54</v>
      </c>
      <c r="N202" t="s">
        <v>18</v>
      </c>
    </row>
    <row r="203" spans="1:14" x14ac:dyDescent="0.3">
      <c r="A203">
        <v>12585</v>
      </c>
      <c r="B203" t="s">
        <v>36</v>
      </c>
      <c r="C203" t="s">
        <v>40</v>
      </c>
      <c r="D203" s="3">
        <v>10000</v>
      </c>
      <c r="E203">
        <v>1</v>
      </c>
      <c r="F203" t="s">
        <v>27</v>
      </c>
      <c r="G203" t="s">
        <v>25</v>
      </c>
      <c r="H203" t="s">
        <v>15</v>
      </c>
      <c r="I203">
        <v>0</v>
      </c>
      <c r="J203" t="s">
        <v>22</v>
      </c>
      <c r="K203" t="s">
        <v>24</v>
      </c>
      <c r="L203">
        <v>27</v>
      </c>
      <c r="M203" t="str">
        <f t="shared" si="3"/>
        <v>Adolescent0-30</v>
      </c>
      <c r="N203" t="s">
        <v>15</v>
      </c>
    </row>
    <row r="204" spans="1:14" x14ac:dyDescent="0.3">
      <c r="A204">
        <v>18626</v>
      </c>
      <c r="B204" t="s">
        <v>37</v>
      </c>
      <c r="C204" t="s">
        <v>40</v>
      </c>
      <c r="D204" s="3">
        <v>40000</v>
      </c>
      <c r="E204">
        <v>2</v>
      </c>
      <c r="F204" t="s">
        <v>19</v>
      </c>
      <c r="G204" t="s">
        <v>20</v>
      </c>
      <c r="H204" t="s">
        <v>15</v>
      </c>
      <c r="I204">
        <v>0</v>
      </c>
      <c r="J204" t="s">
        <v>26</v>
      </c>
      <c r="K204" t="s">
        <v>17</v>
      </c>
      <c r="L204">
        <v>33</v>
      </c>
      <c r="M204" t="str">
        <f t="shared" si="3"/>
        <v>Middle Age31-54</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Age31-54</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Age31-54</v>
      </c>
      <c r="N206" t="s">
        <v>18</v>
      </c>
    </row>
    <row r="207" spans="1:14" x14ac:dyDescent="0.3">
      <c r="A207">
        <v>15657</v>
      </c>
      <c r="B207" t="s">
        <v>36</v>
      </c>
      <c r="C207" t="s">
        <v>40</v>
      </c>
      <c r="D207" s="3">
        <v>30000</v>
      </c>
      <c r="E207">
        <v>3</v>
      </c>
      <c r="F207" t="s">
        <v>31</v>
      </c>
      <c r="G207" t="s">
        <v>20</v>
      </c>
      <c r="H207" t="s">
        <v>15</v>
      </c>
      <c r="I207">
        <v>0</v>
      </c>
      <c r="J207" t="s">
        <v>16</v>
      </c>
      <c r="K207" t="s">
        <v>17</v>
      </c>
      <c r="L207">
        <v>46</v>
      </c>
      <c r="M207" t="str">
        <f t="shared" si="3"/>
        <v>Middle Age31-54</v>
      </c>
      <c r="N207" t="s">
        <v>15</v>
      </c>
    </row>
    <row r="208" spans="1:14" x14ac:dyDescent="0.3">
      <c r="A208">
        <v>11415</v>
      </c>
      <c r="B208" t="s">
        <v>37</v>
      </c>
      <c r="C208" t="s">
        <v>40</v>
      </c>
      <c r="D208" s="3">
        <v>90000</v>
      </c>
      <c r="E208">
        <v>5</v>
      </c>
      <c r="F208" t="s">
        <v>19</v>
      </c>
      <c r="G208" t="s">
        <v>21</v>
      </c>
      <c r="H208" t="s">
        <v>18</v>
      </c>
      <c r="I208">
        <v>2</v>
      </c>
      <c r="J208" t="s">
        <v>44</v>
      </c>
      <c r="K208" t="s">
        <v>17</v>
      </c>
      <c r="L208">
        <v>62</v>
      </c>
      <c r="M208" t="str">
        <f t="shared" si="3"/>
        <v>Old 55+</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Adolescent0-30</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Age31-54</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Age31-54</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Age31-54</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Age31-54</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Adolescent0-30</v>
      </c>
      <c r="N214" t="s">
        <v>18</v>
      </c>
    </row>
    <row r="215" spans="1:14" x14ac:dyDescent="0.3">
      <c r="A215">
        <v>11451</v>
      </c>
      <c r="B215" t="s">
        <v>37</v>
      </c>
      <c r="C215" t="s">
        <v>40</v>
      </c>
      <c r="D215" s="3">
        <v>70000</v>
      </c>
      <c r="E215">
        <v>0</v>
      </c>
      <c r="F215" t="s">
        <v>13</v>
      </c>
      <c r="G215" t="s">
        <v>21</v>
      </c>
      <c r="H215" t="s">
        <v>18</v>
      </c>
      <c r="I215">
        <v>4</v>
      </c>
      <c r="J215" t="s">
        <v>44</v>
      </c>
      <c r="K215" t="s">
        <v>24</v>
      </c>
      <c r="L215">
        <v>31</v>
      </c>
      <c r="M215" t="str">
        <f t="shared" si="3"/>
        <v>Middle Age31-54</v>
      </c>
      <c r="N215" t="s">
        <v>15</v>
      </c>
    </row>
    <row r="216" spans="1:14" x14ac:dyDescent="0.3">
      <c r="A216">
        <v>25553</v>
      </c>
      <c r="B216" t="s">
        <v>36</v>
      </c>
      <c r="C216" t="s">
        <v>40</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40</v>
      </c>
      <c r="D217" s="3">
        <v>80000</v>
      </c>
      <c r="E217">
        <v>4</v>
      </c>
      <c r="F217" t="s">
        <v>19</v>
      </c>
      <c r="G217" t="s">
        <v>21</v>
      </c>
      <c r="H217" t="s">
        <v>18</v>
      </c>
      <c r="I217">
        <v>2</v>
      </c>
      <c r="J217" t="s">
        <v>22</v>
      </c>
      <c r="K217" t="s">
        <v>17</v>
      </c>
      <c r="L217">
        <v>54</v>
      </c>
      <c r="M217" t="str">
        <f t="shared" si="3"/>
        <v>Middle Age31-54</v>
      </c>
      <c r="N217" t="s">
        <v>15</v>
      </c>
    </row>
    <row r="218" spans="1:14" x14ac:dyDescent="0.3">
      <c r="A218">
        <v>25026</v>
      </c>
      <c r="B218" t="s">
        <v>36</v>
      </c>
      <c r="C218" t="s">
        <v>40</v>
      </c>
      <c r="D218" s="3">
        <v>20000</v>
      </c>
      <c r="E218">
        <v>2</v>
      </c>
      <c r="F218" t="s">
        <v>29</v>
      </c>
      <c r="G218" t="s">
        <v>20</v>
      </c>
      <c r="H218" t="s">
        <v>15</v>
      </c>
      <c r="I218">
        <v>3</v>
      </c>
      <c r="J218" t="s">
        <v>23</v>
      </c>
      <c r="K218" t="s">
        <v>24</v>
      </c>
      <c r="L218">
        <v>54</v>
      </c>
      <c r="M218" t="str">
        <f t="shared" si="3"/>
        <v>Middle Age31-54</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Adolescent0-30</v>
      </c>
      <c r="N219" t="s">
        <v>18</v>
      </c>
    </row>
    <row r="220" spans="1:14" x14ac:dyDescent="0.3">
      <c r="A220">
        <v>16043</v>
      </c>
      <c r="B220" t="s">
        <v>37</v>
      </c>
      <c r="C220" t="s">
        <v>40</v>
      </c>
      <c r="D220" s="3">
        <v>10000</v>
      </c>
      <c r="E220">
        <v>1</v>
      </c>
      <c r="F220" t="s">
        <v>13</v>
      </c>
      <c r="G220" t="s">
        <v>25</v>
      </c>
      <c r="H220" t="s">
        <v>15</v>
      </c>
      <c r="I220">
        <v>0</v>
      </c>
      <c r="J220" t="s">
        <v>16</v>
      </c>
      <c r="K220" t="s">
        <v>17</v>
      </c>
      <c r="L220">
        <v>48</v>
      </c>
      <c r="M220" t="str">
        <f t="shared" si="3"/>
        <v>Middle Age31-54</v>
      </c>
      <c r="N220" t="s">
        <v>18</v>
      </c>
    </row>
    <row r="221" spans="1:14" x14ac:dyDescent="0.3">
      <c r="A221">
        <v>22399</v>
      </c>
      <c r="B221" t="s">
        <v>37</v>
      </c>
      <c r="C221" t="s">
        <v>40</v>
      </c>
      <c r="D221" s="3">
        <v>10000</v>
      </c>
      <c r="E221">
        <v>0</v>
      </c>
      <c r="F221" t="s">
        <v>19</v>
      </c>
      <c r="G221" t="s">
        <v>25</v>
      </c>
      <c r="H221" t="s">
        <v>15</v>
      </c>
      <c r="I221">
        <v>1</v>
      </c>
      <c r="J221" t="s">
        <v>26</v>
      </c>
      <c r="K221" t="s">
        <v>24</v>
      </c>
      <c r="L221">
        <v>26</v>
      </c>
      <c r="M221" t="str">
        <f t="shared" si="3"/>
        <v>Adolescent0-30</v>
      </c>
      <c r="N221" t="s">
        <v>15</v>
      </c>
    </row>
    <row r="222" spans="1:14" x14ac:dyDescent="0.3">
      <c r="A222">
        <v>27696</v>
      </c>
      <c r="B222" t="s">
        <v>36</v>
      </c>
      <c r="C222" t="s">
        <v>40</v>
      </c>
      <c r="D222" s="3">
        <v>60000</v>
      </c>
      <c r="E222">
        <v>1</v>
      </c>
      <c r="F222" t="s">
        <v>13</v>
      </c>
      <c r="G222" t="s">
        <v>21</v>
      </c>
      <c r="H222" t="s">
        <v>15</v>
      </c>
      <c r="I222">
        <v>1</v>
      </c>
      <c r="J222" t="s">
        <v>23</v>
      </c>
      <c r="K222" t="s">
        <v>24</v>
      </c>
      <c r="L222">
        <v>43</v>
      </c>
      <c r="M222" t="str">
        <f t="shared" si="3"/>
        <v>Middle Age31-54</v>
      </c>
      <c r="N222" t="s">
        <v>15</v>
      </c>
    </row>
    <row r="223" spans="1:14" x14ac:dyDescent="0.3">
      <c r="A223">
        <v>25313</v>
      </c>
      <c r="B223" t="s">
        <v>37</v>
      </c>
      <c r="C223" t="s">
        <v>40</v>
      </c>
      <c r="D223" s="3">
        <v>10000</v>
      </c>
      <c r="E223">
        <v>0</v>
      </c>
      <c r="F223" t="s">
        <v>29</v>
      </c>
      <c r="G223" t="s">
        <v>25</v>
      </c>
      <c r="H223" t="s">
        <v>18</v>
      </c>
      <c r="I223">
        <v>2</v>
      </c>
      <c r="J223" t="s">
        <v>26</v>
      </c>
      <c r="K223" t="s">
        <v>17</v>
      </c>
      <c r="L223">
        <v>35</v>
      </c>
      <c r="M223" t="str">
        <f t="shared" si="3"/>
        <v>Middle Age31-54</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Age31-54</v>
      </c>
      <c r="N224" t="s">
        <v>18</v>
      </c>
    </row>
    <row r="225" spans="1:14" x14ac:dyDescent="0.3">
      <c r="A225">
        <v>18711</v>
      </c>
      <c r="B225" t="s">
        <v>37</v>
      </c>
      <c r="C225" t="s">
        <v>39</v>
      </c>
      <c r="D225" s="3">
        <v>70000</v>
      </c>
      <c r="E225">
        <v>5</v>
      </c>
      <c r="F225" t="s">
        <v>13</v>
      </c>
      <c r="G225" t="s">
        <v>21</v>
      </c>
      <c r="H225" t="s">
        <v>15</v>
      </c>
      <c r="I225">
        <v>4</v>
      </c>
      <c r="J225" t="s">
        <v>44</v>
      </c>
      <c r="K225" t="s">
        <v>24</v>
      </c>
      <c r="L225">
        <v>39</v>
      </c>
      <c r="M225" t="str">
        <f t="shared" si="3"/>
        <v>Middle Age31-54</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40</v>
      </c>
      <c r="D227" s="3">
        <v>20000</v>
      </c>
      <c r="E227">
        <v>1</v>
      </c>
      <c r="F227" t="s">
        <v>19</v>
      </c>
      <c r="G227" t="s">
        <v>25</v>
      </c>
      <c r="H227" t="s">
        <v>15</v>
      </c>
      <c r="I227">
        <v>0</v>
      </c>
      <c r="J227" t="s">
        <v>26</v>
      </c>
      <c r="K227" t="s">
        <v>17</v>
      </c>
      <c r="L227">
        <v>35</v>
      </c>
      <c r="M227" t="str">
        <f t="shared" si="3"/>
        <v>Middle Age31-54</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Age31-54</v>
      </c>
      <c r="N228" t="s">
        <v>15</v>
      </c>
    </row>
    <row r="229" spans="1:14" x14ac:dyDescent="0.3">
      <c r="A229">
        <v>26849</v>
      </c>
      <c r="B229" t="s">
        <v>36</v>
      </c>
      <c r="C229" t="s">
        <v>40</v>
      </c>
      <c r="D229" s="3">
        <v>10000</v>
      </c>
      <c r="E229">
        <v>3</v>
      </c>
      <c r="F229" t="s">
        <v>29</v>
      </c>
      <c r="G229" t="s">
        <v>25</v>
      </c>
      <c r="H229" t="s">
        <v>15</v>
      </c>
      <c r="I229">
        <v>2</v>
      </c>
      <c r="J229" t="s">
        <v>16</v>
      </c>
      <c r="K229" t="s">
        <v>17</v>
      </c>
      <c r="L229">
        <v>43</v>
      </c>
      <c r="M229" t="str">
        <f t="shared" si="3"/>
        <v>Middle Age31-54</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Age31-54</v>
      </c>
      <c r="N230" t="s">
        <v>18</v>
      </c>
    </row>
    <row r="231" spans="1:14" x14ac:dyDescent="0.3">
      <c r="A231">
        <v>28915</v>
      </c>
      <c r="B231" t="s">
        <v>37</v>
      </c>
      <c r="C231" t="s">
        <v>40</v>
      </c>
      <c r="D231" s="3">
        <v>80000</v>
      </c>
      <c r="E231">
        <v>5</v>
      </c>
      <c r="F231" t="s">
        <v>27</v>
      </c>
      <c r="G231" t="s">
        <v>28</v>
      </c>
      <c r="H231" t="s">
        <v>15</v>
      </c>
      <c r="I231">
        <v>3</v>
      </c>
      <c r="J231" t="s">
        <v>44</v>
      </c>
      <c r="K231" t="s">
        <v>17</v>
      </c>
      <c r="L231">
        <v>57</v>
      </c>
      <c r="M231" t="str">
        <f t="shared" si="3"/>
        <v>Old 55+</v>
      </c>
      <c r="N231" t="s">
        <v>18</v>
      </c>
    </row>
    <row r="232" spans="1:14" x14ac:dyDescent="0.3">
      <c r="A232">
        <v>22830</v>
      </c>
      <c r="B232" t="s">
        <v>36</v>
      </c>
      <c r="C232" t="s">
        <v>40</v>
      </c>
      <c r="D232" s="3">
        <v>120000</v>
      </c>
      <c r="E232">
        <v>4</v>
      </c>
      <c r="F232" t="s">
        <v>19</v>
      </c>
      <c r="G232" t="s">
        <v>28</v>
      </c>
      <c r="H232" t="s">
        <v>15</v>
      </c>
      <c r="I232">
        <v>3</v>
      </c>
      <c r="J232" t="s">
        <v>44</v>
      </c>
      <c r="K232" t="s">
        <v>17</v>
      </c>
      <c r="L232">
        <v>56</v>
      </c>
      <c r="M232" t="str">
        <f t="shared" si="3"/>
        <v>Old 55+</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Age31-54</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Age31-54</v>
      </c>
      <c r="N234" t="s">
        <v>18</v>
      </c>
    </row>
    <row r="235" spans="1:14" x14ac:dyDescent="0.3">
      <c r="A235">
        <v>24174</v>
      </c>
      <c r="B235" t="s">
        <v>36</v>
      </c>
      <c r="C235" t="s">
        <v>40</v>
      </c>
      <c r="D235" s="3">
        <v>20000</v>
      </c>
      <c r="E235">
        <v>0</v>
      </c>
      <c r="F235" t="s">
        <v>13</v>
      </c>
      <c r="G235" t="s">
        <v>20</v>
      </c>
      <c r="H235" t="s">
        <v>15</v>
      </c>
      <c r="I235">
        <v>0</v>
      </c>
      <c r="J235" t="s">
        <v>16</v>
      </c>
      <c r="K235" t="s">
        <v>24</v>
      </c>
      <c r="L235">
        <v>27</v>
      </c>
      <c r="M235" t="str">
        <f t="shared" si="3"/>
        <v>Adolescent0-30</v>
      </c>
      <c r="N235" t="s">
        <v>15</v>
      </c>
    </row>
    <row r="236" spans="1:14" x14ac:dyDescent="0.3">
      <c r="A236">
        <v>24611</v>
      </c>
      <c r="B236" t="s">
        <v>37</v>
      </c>
      <c r="C236" t="s">
        <v>40</v>
      </c>
      <c r="D236" s="3">
        <v>90000</v>
      </c>
      <c r="E236">
        <v>0</v>
      </c>
      <c r="F236" t="s">
        <v>13</v>
      </c>
      <c r="G236" t="s">
        <v>21</v>
      </c>
      <c r="H236" t="s">
        <v>18</v>
      </c>
      <c r="I236">
        <v>4</v>
      </c>
      <c r="J236" t="s">
        <v>44</v>
      </c>
      <c r="K236" t="s">
        <v>24</v>
      </c>
      <c r="L236">
        <v>35</v>
      </c>
      <c r="M236" t="str">
        <f t="shared" si="3"/>
        <v>Middle Age31-54</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Age31-54</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Adolescent0-30</v>
      </c>
      <c r="N239" t="s">
        <v>15</v>
      </c>
    </row>
    <row r="240" spans="1:14" x14ac:dyDescent="0.3">
      <c r="A240">
        <v>22006</v>
      </c>
      <c r="B240" t="s">
        <v>36</v>
      </c>
      <c r="C240" t="s">
        <v>40</v>
      </c>
      <c r="D240" s="3">
        <v>70000</v>
      </c>
      <c r="E240">
        <v>5</v>
      </c>
      <c r="F240" t="s">
        <v>19</v>
      </c>
      <c r="G240" t="s">
        <v>14</v>
      </c>
      <c r="H240" t="s">
        <v>15</v>
      </c>
      <c r="I240">
        <v>3</v>
      </c>
      <c r="J240" t="s">
        <v>23</v>
      </c>
      <c r="K240" t="s">
        <v>24</v>
      </c>
      <c r="L240">
        <v>46</v>
      </c>
      <c r="M240" t="str">
        <f t="shared" si="3"/>
        <v>Middle Age31-54</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Age31-54</v>
      </c>
      <c r="N241" t="s">
        <v>15</v>
      </c>
    </row>
    <row r="242" spans="1:14" x14ac:dyDescent="0.3">
      <c r="A242">
        <v>17702</v>
      </c>
      <c r="B242" t="s">
        <v>36</v>
      </c>
      <c r="C242" t="s">
        <v>40</v>
      </c>
      <c r="D242" s="3">
        <v>10000</v>
      </c>
      <c r="E242">
        <v>1</v>
      </c>
      <c r="F242" t="s">
        <v>31</v>
      </c>
      <c r="G242" t="s">
        <v>25</v>
      </c>
      <c r="H242" t="s">
        <v>15</v>
      </c>
      <c r="I242">
        <v>0</v>
      </c>
      <c r="J242" t="s">
        <v>16</v>
      </c>
      <c r="K242" t="s">
        <v>17</v>
      </c>
      <c r="L242">
        <v>37</v>
      </c>
      <c r="M242" t="str">
        <f t="shared" si="3"/>
        <v>Middle Age31-54</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Adolescent0-30</v>
      </c>
      <c r="N243" t="s">
        <v>18</v>
      </c>
    </row>
    <row r="244" spans="1:14" x14ac:dyDescent="0.3">
      <c r="A244">
        <v>23908</v>
      </c>
      <c r="B244" t="s">
        <v>37</v>
      </c>
      <c r="C244" t="s">
        <v>40</v>
      </c>
      <c r="D244" s="3">
        <v>30000</v>
      </c>
      <c r="E244">
        <v>1</v>
      </c>
      <c r="F244" t="s">
        <v>13</v>
      </c>
      <c r="G244" t="s">
        <v>20</v>
      </c>
      <c r="H244" t="s">
        <v>18</v>
      </c>
      <c r="I244">
        <v>1</v>
      </c>
      <c r="J244" t="s">
        <v>16</v>
      </c>
      <c r="K244" t="s">
        <v>17</v>
      </c>
      <c r="L244">
        <v>39</v>
      </c>
      <c r="M244" t="str">
        <f t="shared" si="3"/>
        <v>Middle Age31-54</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Adolescent0-30</v>
      </c>
      <c r="N245" t="s">
        <v>18</v>
      </c>
    </row>
    <row r="246" spans="1:14" x14ac:dyDescent="0.3">
      <c r="A246">
        <v>19057</v>
      </c>
      <c r="B246" t="s">
        <v>36</v>
      </c>
      <c r="C246" t="s">
        <v>39</v>
      </c>
      <c r="D246" s="3">
        <v>120000</v>
      </c>
      <c r="E246">
        <v>3</v>
      </c>
      <c r="F246" t="s">
        <v>13</v>
      </c>
      <c r="G246" t="s">
        <v>28</v>
      </c>
      <c r="H246" t="s">
        <v>18</v>
      </c>
      <c r="I246">
        <v>2</v>
      </c>
      <c r="J246" t="s">
        <v>44</v>
      </c>
      <c r="K246" t="s">
        <v>17</v>
      </c>
      <c r="L246">
        <v>52</v>
      </c>
      <c r="M246" t="str">
        <f t="shared" si="3"/>
        <v>Middle Age31-54</v>
      </c>
      <c r="N246" t="s">
        <v>15</v>
      </c>
    </row>
    <row r="247" spans="1:14" x14ac:dyDescent="0.3">
      <c r="A247">
        <v>18494</v>
      </c>
      <c r="B247" t="s">
        <v>36</v>
      </c>
      <c r="C247" t="s">
        <v>40</v>
      </c>
      <c r="D247" s="3">
        <v>110000</v>
      </c>
      <c r="E247">
        <v>5</v>
      </c>
      <c r="F247" t="s">
        <v>13</v>
      </c>
      <c r="G247" t="s">
        <v>28</v>
      </c>
      <c r="H247" t="s">
        <v>15</v>
      </c>
      <c r="I247">
        <v>4</v>
      </c>
      <c r="J247" t="s">
        <v>22</v>
      </c>
      <c r="K247" t="s">
        <v>24</v>
      </c>
      <c r="L247">
        <v>48</v>
      </c>
      <c r="M247" t="str">
        <f t="shared" si="3"/>
        <v>Middle Age31-54</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Age31-54</v>
      </c>
      <c r="N248" t="s">
        <v>15</v>
      </c>
    </row>
    <row r="249" spans="1:14" x14ac:dyDescent="0.3">
      <c r="A249">
        <v>21568</v>
      </c>
      <c r="B249" t="s">
        <v>36</v>
      </c>
      <c r="C249" t="s">
        <v>39</v>
      </c>
      <c r="D249" s="3">
        <v>100000</v>
      </c>
      <c r="E249">
        <v>0</v>
      </c>
      <c r="F249" t="s">
        <v>27</v>
      </c>
      <c r="G249" t="s">
        <v>28</v>
      </c>
      <c r="H249" t="s">
        <v>15</v>
      </c>
      <c r="I249">
        <v>4</v>
      </c>
      <c r="J249" t="s">
        <v>44</v>
      </c>
      <c r="K249" t="s">
        <v>24</v>
      </c>
      <c r="L249">
        <v>34</v>
      </c>
      <c r="M249" t="str">
        <f t="shared" si="3"/>
        <v>Middle Age31-54</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40</v>
      </c>
      <c r="D251" s="3">
        <v>70000</v>
      </c>
      <c r="E251">
        <v>0</v>
      </c>
      <c r="F251" t="s">
        <v>13</v>
      </c>
      <c r="G251" t="s">
        <v>21</v>
      </c>
      <c r="H251" t="s">
        <v>15</v>
      </c>
      <c r="I251">
        <v>1</v>
      </c>
      <c r="J251" t="s">
        <v>23</v>
      </c>
      <c r="K251" t="s">
        <v>24</v>
      </c>
      <c r="L251">
        <v>37</v>
      </c>
      <c r="M251" t="str">
        <f t="shared" si="3"/>
        <v>Middle Age31-54</v>
      </c>
      <c r="N251" t="s">
        <v>15</v>
      </c>
    </row>
    <row r="252" spans="1:14" x14ac:dyDescent="0.3">
      <c r="A252">
        <v>22931</v>
      </c>
      <c r="B252" t="s">
        <v>36</v>
      </c>
      <c r="C252" t="s">
        <v>40</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40</v>
      </c>
      <c r="D253" s="3">
        <v>130000</v>
      </c>
      <c r="E253">
        <v>4</v>
      </c>
      <c r="F253" t="s">
        <v>27</v>
      </c>
      <c r="G253" t="s">
        <v>21</v>
      </c>
      <c r="H253" t="s">
        <v>15</v>
      </c>
      <c r="I253">
        <v>3</v>
      </c>
      <c r="J253" t="s">
        <v>16</v>
      </c>
      <c r="K253" t="s">
        <v>17</v>
      </c>
      <c r="L253">
        <v>55</v>
      </c>
      <c r="M253" t="str">
        <f t="shared" si="3"/>
        <v>Middle Age31-54</v>
      </c>
      <c r="N253" t="s">
        <v>18</v>
      </c>
    </row>
    <row r="254" spans="1:14" x14ac:dyDescent="0.3">
      <c r="A254">
        <v>12666</v>
      </c>
      <c r="B254" t="s">
        <v>37</v>
      </c>
      <c r="C254" t="s">
        <v>40</v>
      </c>
      <c r="D254" s="3">
        <v>60000</v>
      </c>
      <c r="E254">
        <v>0</v>
      </c>
      <c r="F254" t="s">
        <v>13</v>
      </c>
      <c r="G254" t="s">
        <v>21</v>
      </c>
      <c r="H254" t="s">
        <v>18</v>
      </c>
      <c r="I254">
        <v>4</v>
      </c>
      <c r="J254" t="s">
        <v>22</v>
      </c>
      <c r="K254" t="s">
        <v>24</v>
      </c>
      <c r="L254">
        <v>31</v>
      </c>
      <c r="M254" t="str">
        <f t="shared" si="3"/>
        <v>Middle Age31-54</v>
      </c>
      <c r="N254" t="s">
        <v>18</v>
      </c>
    </row>
    <row r="255" spans="1:14" x14ac:dyDescent="0.3">
      <c r="A255">
        <v>20598</v>
      </c>
      <c r="B255" t="s">
        <v>36</v>
      </c>
      <c r="C255" t="s">
        <v>40</v>
      </c>
      <c r="D255" s="3">
        <v>100000</v>
      </c>
      <c r="E255">
        <v>3</v>
      </c>
      <c r="F255" t="s">
        <v>29</v>
      </c>
      <c r="G255" t="s">
        <v>21</v>
      </c>
      <c r="H255" t="s">
        <v>15</v>
      </c>
      <c r="I255">
        <v>0</v>
      </c>
      <c r="J255" t="s">
        <v>44</v>
      </c>
      <c r="K255" t="s">
        <v>17</v>
      </c>
      <c r="L255">
        <v>59</v>
      </c>
      <c r="M255" t="str">
        <f t="shared" si="3"/>
        <v>Old 55+</v>
      </c>
      <c r="N255" t="s">
        <v>15</v>
      </c>
    </row>
    <row r="256" spans="1:14" x14ac:dyDescent="0.3">
      <c r="A256">
        <v>21375</v>
      </c>
      <c r="B256" t="s">
        <v>37</v>
      </c>
      <c r="C256" t="s">
        <v>40</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Age31-54</v>
      </c>
      <c r="N257" t="s">
        <v>15</v>
      </c>
    </row>
    <row r="258" spans="1:14" x14ac:dyDescent="0.3">
      <c r="A258">
        <v>21738</v>
      </c>
      <c r="B258" t="s">
        <v>36</v>
      </c>
      <c r="C258" t="s">
        <v>40</v>
      </c>
      <c r="D258" s="3">
        <v>20000</v>
      </c>
      <c r="E258">
        <v>1</v>
      </c>
      <c r="F258" t="s">
        <v>31</v>
      </c>
      <c r="G258" t="s">
        <v>20</v>
      </c>
      <c r="H258" t="s">
        <v>15</v>
      </c>
      <c r="I258">
        <v>0</v>
      </c>
      <c r="J258" t="s">
        <v>16</v>
      </c>
      <c r="K258" t="s">
        <v>17</v>
      </c>
      <c r="L258">
        <v>43</v>
      </c>
      <c r="M258" t="str">
        <f t="shared" si="3"/>
        <v>Middle Age31-54</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 "Old 55+", IF(L259&gt;=31, "Middle Age31-54",IF(L259&lt;31,"Adolescent0-30","Invalid")))</f>
        <v>Middle Age31-54</v>
      </c>
      <c r="N259" t="s">
        <v>15</v>
      </c>
    </row>
    <row r="260" spans="1:14" x14ac:dyDescent="0.3">
      <c r="A260">
        <v>14193</v>
      </c>
      <c r="B260" t="s">
        <v>37</v>
      </c>
      <c r="C260" t="s">
        <v>39</v>
      </c>
      <c r="D260" s="3">
        <v>100000</v>
      </c>
      <c r="E260">
        <v>3</v>
      </c>
      <c r="F260" t="s">
        <v>19</v>
      </c>
      <c r="G260" t="s">
        <v>28</v>
      </c>
      <c r="H260" t="s">
        <v>15</v>
      </c>
      <c r="I260">
        <v>4</v>
      </c>
      <c r="J260" t="s">
        <v>44</v>
      </c>
      <c r="K260" t="s">
        <v>17</v>
      </c>
      <c r="L260">
        <v>56</v>
      </c>
      <c r="M260" t="str">
        <f t="shared" si="4"/>
        <v>Old 55+</v>
      </c>
      <c r="N260" t="s">
        <v>18</v>
      </c>
    </row>
    <row r="261" spans="1:14" x14ac:dyDescent="0.3">
      <c r="A261">
        <v>12705</v>
      </c>
      <c r="B261" t="s">
        <v>36</v>
      </c>
      <c r="C261" t="s">
        <v>40</v>
      </c>
      <c r="D261" s="3">
        <v>150000</v>
      </c>
      <c r="E261">
        <v>0</v>
      </c>
      <c r="F261" t="s">
        <v>13</v>
      </c>
      <c r="G261" t="s">
        <v>28</v>
      </c>
      <c r="H261" t="s">
        <v>15</v>
      </c>
      <c r="I261">
        <v>4</v>
      </c>
      <c r="J261" t="s">
        <v>16</v>
      </c>
      <c r="K261" t="s">
        <v>24</v>
      </c>
      <c r="L261">
        <v>37</v>
      </c>
      <c r="M261" t="str">
        <f t="shared" si="4"/>
        <v>Middle Age31-54</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Age31-54</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Age31-54</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Age31-54</v>
      </c>
      <c r="N264" t="s">
        <v>18</v>
      </c>
    </row>
    <row r="265" spans="1:14" x14ac:dyDescent="0.3">
      <c r="A265">
        <v>23419</v>
      </c>
      <c r="B265" t="s">
        <v>37</v>
      </c>
      <c r="C265" t="s">
        <v>39</v>
      </c>
      <c r="D265" s="3">
        <v>70000</v>
      </c>
      <c r="E265">
        <v>5</v>
      </c>
      <c r="F265" t="s">
        <v>13</v>
      </c>
      <c r="G265" t="s">
        <v>21</v>
      </c>
      <c r="H265" t="s">
        <v>15</v>
      </c>
      <c r="I265">
        <v>3</v>
      </c>
      <c r="J265" t="s">
        <v>44</v>
      </c>
      <c r="K265" t="s">
        <v>24</v>
      </c>
      <c r="L265">
        <v>39</v>
      </c>
      <c r="M265" t="str">
        <f t="shared" si="4"/>
        <v>Middle Age31-54</v>
      </c>
      <c r="N265" t="s">
        <v>18</v>
      </c>
    </row>
    <row r="266" spans="1:14" x14ac:dyDescent="0.3">
      <c r="A266">
        <v>17964</v>
      </c>
      <c r="B266" t="s">
        <v>36</v>
      </c>
      <c r="C266" t="s">
        <v>40</v>
      </c>
      <c r="D266" s="3">
        <v>40000</v>
      </c>
      <c r="E266">
        <v>0</v>
      </c>
      <c r="F266" t="s">
        <v>31</v>
      </c>
      <c r="G266" t="s">
        <v>20</v>
      </c>
      <c r="H266" t="s">
        <v>15</v>
      </c>
      <c r="I266">
        <v>0</v>
      </c>
      <c r="J266" t="s">
        <v>16</v>
      </c>
      <c r="K266" t="s">
        <v>17</v>
      </c>
      <c r="L266">
        <v>37</v>
      </c>
      <c r="M266" t="str">
        <f t="shared" si="4"/>
        <v>Middle Age31-54</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Age31-54</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Adolescent0-30</v>
      </c>
      <c r="N268" t="s">
        <v>18</v>
      </c>
    </row>
    <row r="269" spans="1:14" x14ac:dyDescent="0.3">
      <c r="A269">
        <v>13133</v>
      </c>
      <c r="B269" t="s">
        <v>37</v>
      </c>
      <c r="C269" t="s">
        <v>40</v>
      </c>
      <c r="D269" s="3">
        <v>100000</v>
      </c>
      <c r="E269">
        <v>5</v>
      </c>
      <c r="F269" t="s">
        <v>13</v>
      </c>
      <c r="G269" t="s">
        <v>21</v>
      </c>
      <c r="H269" t="s">
        <v>15</v>
      </c>
      <c r="I269">
        <v>1</v>
      </c>
      <c r="J269" t="s">
        <v>23</v>
      </c>
      <c r="K269" t="s">
        <v>24</v>
      </c>
      <c r="L269">
        <v>47</v>
      </c>
      <c r="M269" t="str">
        <f t="shared" si="4"/>
        <v>Middle Age31-54</v>
      </c>
      <c r="N269" t="s">
        <v>15</v>
      </c>
    </row>
    <row r="270" spans="1:14" x14ac:dyDescent="0.3">
      <c r="A270">
        <v>19626</v>
      </c>
      <c r="B270" t="s">
        <v>36</v>
      </c>
      <c r="C270" t="s">
        <v>40</v>
      </c>
      <c r="D270" s="3">
        <v>70000</v>
      </c>
      <c r="E270">
        <v>5</v>
      </c>
      <c r="F270" t="s">
        <v>19</v>
      </c>
      <c r="G270" t="s">
        <v>14</v>
      </c>
      <c r="H270" t="s">
        <v>15</v>
      </c>
      <c r="I270">
        <v>3</v>
      </c>
      <c r="J270" t="s">
        <v>23</v>
      </c>
      <c r="K270" t="s">
        <v>24</v>
      </c>
      <c r="L270">
        <v>45</v>
      </c>
      <c r="M270" t="str">
        <f t="shared" si="4"/>
        <v>Middle Age31-54</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Age31-54</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Age31-54</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Adolescent0-30</v>
      </c>
      <c r="N273" t="s">
        <v>18</v>
      </c>
    </row>
    <row r="274" spans="1:14" x14ac:dyDescent="0.3">
      <c r="A274">
        <v>24061</v>
      </c>
      <c r="B274" t="s">
        <v>36</v>
      </c>
      <c r="C274" t="s">
        <v>40</v>
      </c>
      <c r="D274" s="3">
        <v>10000</v>
      </c>
      <c r="E274">
        <v>4</v>
      </c>
      <c r="F274" t="s">
        <v>29</v>
      </c>
      <c r="G274" t="s">
        <v>25</v>
      </c>
      <c r="H274" t="s">
        <v>15</v>
      </c>
      <c r="I274">
        <v>1</v>
      </c>
      <c r="J274" t="s">
        <v>16</v>
      </c>
      <c r="K274" t="s">
        <v>17</v>
      </c>
      <c r="L274">
        <v>40</v>
      </c>
      <c r="M274" t="str">
        <f t="shared" si="4"/>
        <v>Middle Age31-54</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Adolescent0-30</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Age31-54</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Age31-54</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Age31-54</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Age31-54</v>
      </c>
      <c r="N279" t="s">
        <v>15</v>
      </c>
    </row>
    <row r="280" spans="1:14" x14ac:dyDescent="0.3">
      <c r="A280">
        <v>20625</v>
      </c>
      <c r="B280" t="s">
        <v>36</v>
      </c>
      <c r="C280" t="s">
        <v>40</v>
      </c>
      <c r="D280" s="3">
        <v>100000</v>
      </c>
      <c r="E280">
        <v>0</v>
      </c>
      <c r="F280" t="s">
        <v>27</v>
      </c>
      <c r="G280" t="s">
        <v>28</v>
      </c>
      <c r="H280" t="s">
        <v>15</v>
      </c>
      <c r="I280">
        <v>3</v>
      </c>
      <c r="J280" t="s">
        <v>44</v>
      </c>
      <c r="K280" t="s">
        <v>24</v>
      </c>
      <c r="L280">
        <v>35</v>
      </c>
      <c r="M280" t="str">
        <f t="shared" si="4"/>
        <v>Middle Age31-54</v>
      </c>
      <c r="N280" t="s">
        <v>15</v>
      </c>
    </row>
    <row r="281" spans="1:14" x14ac:dyDescent="0.3">
      <c r="A281">
        <v>16390</v>
      </c>
      <c r="B281" t="s">
        <v>37</v>
      </c>
      <c r="C281" t="s">
        <v>40</v>
      </c>
      <c r="D281" s="3">
        <v>30000</v>
      </c>
      <c r="E281">
        <v>1</v>
      </c>
      <c r="F281" t="s">
        <v>13</v>
      </c>
      <c r="G281" t="s">
        <v>20</v>
      </c>
      <c r="H281" t="s">
        <v>18</v>
      </c>
      <c r="I281">
        <v>0</v>
      </c>
      <c r="J281" t="s">
        <v>16</v>
      </c>
      <c r="K281" t="s">
        <v>17</v>
      </c>
      <c r="L281">
        <v>38</v>
      </c>
      <c r="M281" t="str">
        <f t="shared" si="4"/>
        <v>Middle Age31-54</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Age31-54</v>
      </c>
      <c r="N282" t="s">
        <v>18</v>
      </c>
    </row>
    <row r="283" spans="1:14" x14ac:dyDescent="0.3">
      <c r="A283">
        <v>12629</v>
      </c>
      <c r="B283" t="s">
        <v>37</v>
      </c>
      <c r="C283" t="s">
        <v>40</v>
      </c>
      <c r="D283" s="3">
        <v>20000</v>
      </c>
      <c r="E283">
        <v>1</v>
      </c>
      <c r="F283" t="s">
        <v>19</v>
      </c>
      <c r="G283" t="s">
        <v>25</v>
      </c>
      <c r="H283" t="s">
        <v>18</v>
      </c>
      <c r="I283">
        <v>0</v>
      </c>
      <c r="J283" t="s">
        <v>16</v>
      </c>
      <c r="K283" t="s">
        <v>17</v>
      </c>
      <c r="L283">
        <v>37</v>
      </c>
      <c r="M283" t="str">
        <f t="shared" si="4"/>
        <v>Middle Age31-54</v>
      </c>
      <c r="N283" t="s">
        <v>18</v>
      </c>
    </row>
    <row r="284" spans="1:14" x14ac:dyDescent="0.3">
      <c r="A284">
        <v>14696</v>
      </c>
      <c r="B284" t="s">
        <v>37</v>
      </c>
      <c r="C284" t="s">
        <v>40</v>
      </c>
      <c r="D284" s="3">
        <v>10000</v>
      </c>
      <c r="E284">
        <v>0</v>
      </c>
      <c r="F284" t="s">
        <v>29</v>
      </c>
      <c r="G284" t="s">
        <v>25</v>
      </c>
      <c r="H284" t="s">
        <v>18</v>
      </c>
      <c r="I284">
        <v>2</v>
      </c>
      <c r="J284" t="s">
        <v>16</v>
      </c>
      <c r="K284" t="s">
        <v>17</v>
      </c>
      <c r="L284">
        <v>34</v>
      </c>
      <c r="M284" t="str">
        <f t="shared" si="4"/>
        <v>Middle Age31-54</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Age31-54</v>
      </c>
      <c r="N285" t="s">
        <v>18</v>
      </c>
    </row>
    <row r="286" spans="1:14" x14ac:dyDescent="0.3">
      <c r="A286">
        <v>14544</v>
      </c>
      <c r="B286" t="s">
        <v>37</v>
      </c>
      <c r="C286" t="s">
        <v>40</v>
      </c>
      <c r="D286" s="3">
        <v>10000</v>
      </c>
      <c r="E286">
        <v>1</v>
      </c>
      <c r="F286" t="s">
        <v>19</v>
      </c>
      <c r="G286" t="s">
        <v>25</v>
      </c>
      <c r="H286" t="s">
        <v>15</v>
      </c>
      <c r="I286">
        <v>0</v>
      </c>
      <c r="J286" t="s">
        <v>16</v>
      </c>
      <c r="K286" t="s">
        <v>17</v>
      </c>
      <c r="L286">
        <v>49</v>
      </c>
      <c r="M286" t="str">
        <f t="shared" si="4"/>
        <v>Middle Age31-54</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Age31-54</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Age31-54</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Age31-54</v>
      </c>
      <c r="N289" t="s">
        <v>15</v>
      </c>
    </row>
    <row r="290" spans="1:14" x14ac:dyDescent="0.3">
      <c r="A290">
        <v>15758</v>
      </c>
      <c r="B290" t="s">
        <v>36</v>
      </c>
      <c r="C290" t="s">
        <v>40</v>
      </c>
      <c r="D290" s="3">
        <v>130000</v>
      </c>
      <c r="E290">
        <v>0</v>
      </c>
      <c r="F290" t="s">
        <v>31</v>
      </c>
      <c r="G290" t="s">
        <v>28</v>
      </c>
      <c r="H290" t="s">
        <v>15</v>
      </c>
      <c r="I290">
        <v>0</v>
      </c>
      <c r="J290" t="s">
        <v>23</v>
      </c>
      <c r="K290" t="s">
        <v>24</v>
      </c>
      <c r="L290">
        <v>48</v>
      </c>
      <c r="M290" t="str">
        <f t="shared" si="4"/>
        <v>Middle Age31-54</v>
      </c>
      <c r="N290" t="s">
        <v>18</v>
      </c>
    </row>
    <row r="291" spans="1:14" x14ac:dyDescent="0.3">
      <c r="A291">
        <v>29094</v>
      </c>
      <c r="B291" t="s">
        <v>36</v>
      </c>
      <c r="C291" t="s">
        <v>40</v>
      </c>
      <c r="D291" s="3">
        <v>30000</v>
      </c>
      <c r="E291">
        <v>3</v>
      </c>
      <c r="F291" t="s">
        <v>27</v>
      </c>
      <c r="G291" t="s">
        <v>14</v>
      </c>
      <c r="H291" t="s">
        <v>15</v>
      </c>
      <c r="I291">
        <v>2</v>
      </c>
      <c r="J291" t="s">
        <v>23</v>
      </c>
      <c r="K291" t="s">
        <v>24</v>
      </c>
      <c r="L291">
        <v>54</v>
      </c>
      <c r="M291" t="str">
        <f t="shared" si="4"/>
        <v>Middle Age31-54</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Age31-54</v>
      </c>
      <c r="N292" t="s">
        <v>15</v>
      </c>
    </row>
    <row r="293" spans="1:14" x14ac:dyDescent="0.3">
      <c r="A293">
        <v>16406</v>
      </c>
      <c r="B293" t="s">
        <v>36</v>
      </c>
      <c r="C293" t="s">
        <v>40</v>
      </c>
      <c r="D293" s="3">
        <v>40000</v>
      </c>
      <c r="E293">
        <v>0</v>
      </c>
      <c r="F293" t="s">
        <v>13</v>
      </c>
      <c r="G293" t="s">
        <v>20</v>
      </c>
      <c r="H293" t="s">
        <v>18</v>
      </c>
      <c r="I293">
        <v>0</v>
      </c>
      <c r="J293" t="s">
        <v>16</v>
      </c>
      <c r="K293" t="s">
        <v>17</v>
      </c>
      <c r="L293">
        <v>38</v>
      </c>
      <c r="M293" t="str">
        <f t="shared" si="4"/>
        <v>Middle Age31-54</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Age31-54</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Age31-54</v>
      </c>
      <c r="N295" t="s">
        <v>15</v>
      </c>
    </row>
    <row r="296" spans="1:14" x14ac:dyDescent="0.3">
      <c r="A296">
        <v>20851</v>
      </c>
      <c r="B296" t="s">
        <v>37</v>
      </c>
      <c r="C296" t="s">
        <v>40</v>
      </c>
      <c r="D296" s="3">
        <v>20000</v>
      </c>
      <c r="E296">
        <v>0</v>
      </c>
      <c r="F296" t="s">
        <v>19</v>
      </c>
      <c r="G296" t="s">
        <v>25</v>
      </c>
      <c r="H296" t="s">
        <v>18</v>
      </c>
      <c r="I296">
        <v>1</v>
      </c>
      <c r="J296" t="s">
        <v>22</v>
      </c>
      <c r="K296" t="s">
        <v>17</v>
      </c>
      <c r="L296">
        <v>36</v>
      </c>
      <c r="M296" t="str">
        <f t="shared" si="4"/>
        <v>Middle Age31-54</v>
      </c>
      <c r="N296" t="s">
        <v>15</v>
      </c>
    </row>
    <row r="297" spans="1:14" x14ac:dyDescent="0.3">
      <c r="A297">
        <v>21557</v>
      </c>
      <c r="B297" t="s">
        <v>37</v>
      </c>
      <c r="C297" t="s">
        <v>39</v>
      </c>
      <c r="D297" s="3">
        <v>110000</v>
      </c>
      <c r="E297">
        <v>0</v>
      </c>
      <c r="F297" t="s">
        <v>19</v>
      </c>
      <c r="G297" t="s">
        <v>28</v>
      </c>
      <c r="H297" t="s">
        <v>15</v>
      </c>
      <c r="I297">
        <v>3</v>
      </c>
      <c r="J297" t="s">
        <v>44</v>
      </c>
      <c r="K297" t="s">
        <v>24</v>
      </c>
      <c r="L297">
        <v>32</v>
      </c>
      <c r="M297" t="str">
        <f t="shared" si="4"/>
        <v>Middle Age31-54</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Age31-54</v>
      </c>
      <c r="N298" t="s">
        <v>15</v>
      </c>
    </row>
    <row r="299" spans="1:14" x14ac:dyDescent="0.3">
      <c r="A299">
        <v>11896</v>
      </c>
      <c r="B299" t="s">
        <v>36</v>
      </c>
      <c r="C299" t="s">
        <v>40</v>
      </c>
      <c r="D299" s="3">
        <v>100000</v>
      </c>
      <c r="E299">
        <v>1</v>
      </c>
      <c r="F299" t="s">
        <v>31</v>
      </c>
      <c r="G299" t="s">
        <v>28</v>
      </c>
      <c r="H299" t="s">
        <v>15</v>
      </c>
      <c r="I299">
        <v>0</v>
      </c>
      <c r="J299" t="s">
        <v>22</v>
      </c>
      <c r="K299" t="s">
        <v>24</v>
      </c>
      <c r="L299">
        <v>36</v>
      </c>
      <c r="M299" t="str">
        <f t="shared" si="4"/>
        <v>Middle Age31-54</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Age31-54</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Adolescent0-30</v>
      </c>
      <c r="N303" t="s">
        <v>15</v>
      </c>
    </row>
    <row r="304" spans="1:14" x14ac:dyDescent="0.3">
      <c r="A304">
        <v>26928</v>
      </c>
      <c r="B304" t="s">
        <v>37</v>
      </c>
      <c r="C304" t="s">
        <v>40</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Age31-54</v>
      </c>
      <c r="N305" t="s">
        <v>18</v>
      </c>
    </row>
    <row r="306" spans="1:14" x14ac:dyDescent="0.3">
      <c r="A306">
        <v>28207</v>
      </c>
      <c r="B306" t="s">
        <v>36</v>
      </c>
      <c r="C306" t="s">
        <v>40</v>
      </c>
      <c r="D306" s="3">
        <v>80000</v>
      </c>
      <c r="E306">
        <v>4</v>
      </c>
      <c r="F306" t="s">
        <v>31</v>
      </c>
      <c r="G306" t="s">
        <v>28</v>
      </c>
      <c r="H306" t="s">
        <v>15</v>
      </c>
      <c r="I306">
        <v>1</v>
      </c>
      <c r="J306" t="s">
        <v>16</v>
      </c>
      <c r="K306" t="s">
        <v>24</v>
      </c>
      <c r="L306">
        <v>36</v>
      </c>
      <c r="M306" t="str">
        <f t="shared" si="4"/>
        <v>Middle Age31-54</v>
      </c>
      <c r="N306" t="s">
        <v>15</v>
      </c>
    </row>
    <row r="307" spans="1:14" x14ac:dyDescent="0.3">
      <c r="A307">
        <v>25923</v>
      </c>
      <c r="B307" t="s">
        <v>37</v>
      </c>
      <c r="C307" t="s">
        <v>40</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40</v>
      </c>
      <c r="D308" s="3">
        <v>90000</v>
      </c>
      <c r="E308">
        <v>2</v>
      </c>
      <c r="F308" t="s">
        <v>13</v>
      </c>
      <c r="G308" t="s">
        <v>21</v>
      </c>
      <c r="H308" t="s">
        <v>15</v>
      </c>
      <c r="I308">
        <v>0</v>
      </c>
      <c r="J308" t="s">
        <v>26</v>
      </c>
      <c r="K308" t="s">
        <v>24</v>
      </c>
      <c r="L308">
        <v>40</v>
      </c>
      <c r="M308" t="str">
        <f t="shared" si="4"/>
        <v>Middle Age31-54</v>
      </c>
      <c r="N308" t="s">
        <v>15</v>
      </c>
    </row>
    <row r="309" spans="1:14" x14ac:dyDescent="0.3">
      <c r="A309">
        <v>20974</v>
      </c>
      <c r="B309" t="s">
        <v>36</v>
      </c>
      <c r="C309" t="s">
        <v>40</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40</v>
      </c>
      <c r="D310" s="3">
        <v>40000</v>
      </c>
      <c r="E310">
        <v>2</v>
      </c>
      <c r="F310" t="s">
        <v>19</v>
      </c>
      <c r="G310" t="s">
        <v>20</v>
      </c>
      <c r="H310" t="s">
        <v>15</v>
      </c>
      <c r="I310">
        <v>1</v>
      </c>
      <c r="J310" t="s">
        <v>26</v>
      </c>
      <c r="K310" t="s">
        <v>17</v>
      </c>
      <c r="L310">
        <v>35</v>
      </c>
      <c r="M310" t="str">
        <f t="shared" si="4"/>
        <v>Middle Age31-54</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Age31-54</v>
      </c>
      <c r="N311" t="s">
        <v>15</v>
      </c>
    </row>
    <row r="312" spans="1:14" x14ac:dyDescent="0.3">
      <c r="A312">
        <v>17522</v>
      </c>
      <c r="B312" t="s">
        <v>36</v>
      </c>
      <c r="C312" t="s">
        <v>40</v>
      </c>
      <c r="D312" s="3">
        <v>120000</v>
      </c>
      <c r="E312">
        <v>4</v>
      </c>
      <c r="F312" t="s">
        <v>13</v>
      </c>
      <c r="G312" t="s">
        <v>28</v>
      </c>
      <c r="H312" t="s">
        <v>15</v>
      </c>
      <c r="I312">
        <v>1</v>
      </c>
      <c r="J312" t="s">
        <v>22</v>
      </c>
      <c r="K312" t="s">
        <v>24</v>
      </c>
      <c r="L312">
        <v>47</v>
      </c>
      <c r="M312" t="str">
        <f t="shared" si="4"/>
        <v>Middle Age31-54</v>
      </c>
      <c r="N312" t="s">
        <v>18</v>
      </c>
    </row>
    <row r="313" spans="1:14" x14ac:dyDescent="0.3">
      <c r="A313">
        <v>21207</v>
      </c>
      <c r="B313" t="s">
        <v>36</v>
      </c>
      <c r="C313" t="s">
        <v>40</v>
      </c>
      <c r="D313" s="3">
        <v>60000</v>
      </c>
      <c r="E313">
        <v>1</v>
      </c>
      <c r="F313" t="s">
        <v>19</v>
      </c>
      <c r="G313" t="s">
        <v>14</v>
      </c>
      <c r="H313" t="s">
        <v>15</v>
      </c>
      <c r="I313">
        <v>1</v>
      </c>
      <c r="J313" t="s">
        <v>23</v>
      </c>
      <c r="K313" t="s">
        <v>24</v>
      </c>
      <c r="L313">
        <v>46</v>
      </c>
      <c r="M313" t="str">
        <f t="shared" si="4"/>
        <v>Middle Age31-54</v>
      </c>
      <c r="N313" t="s">
        <v>18</v>
      </c>
    </row>
    <row r="314" spans="1:14" x14ac:dyDescent="0.3">
      <c r="A314">
        <v>28102</v>
      </c>
      <c r="B314" t="s">
        <v>36</v>
      </c>
      <c r="C314" t="s">
        <v>40</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40</v>
      </c>
      <c r="D315" s="3">
        <v>40000</v>
      </c>
      <c r="E315">
        <v>3</v>
      </c>
      <c r="F315" t="s">
        <v>29</v>
      </c>
      <c r="G315" t="s">
        <v>20</v>
      </c>
      <c r="H315" t="s">
        <v>18</v>
      </c>
      <c r="I315">
        <v>2</v>
      </c>
      <c r="J315" t="s">
        <v>23</v>
      </c>
      <c r="K315" t="s">
        <v>24</v>
      </c>
      <c r="L315">
        <v>52</v>
      </c>
      <c r="M315" t="str">
        <f t="shared" si="4"/>
        <v>Middle Age31-54</v>
      </c>
      <c r="N315" t="s">
        <v>15</v>
      </c>
    </row>
    <row r="316" spans="1:14" x14ac:dyDescent="0.3">
      <c r="A316">
        <v>18740</v>
      </c>
      <c r="B316" t="s">
        <v>36</v>
      </c>
      <c r="C316" t="s">
        <v>40</v>
      </c>
      <c r="D316" s="3">
        <v>80000</v>
      </c>
      <c r="E316">
        <v>5</v>
      </c>
      <c r="F316" t="s">
        <v>13</v>
      </c>
      <c r="G316" t="s">
        <v>21</v>
      </c>
      <c r="H316" t="s">
        <v>18</v>
      </c>
      <c r="I316">
        <v>1</v>
      </c>
      <c r="J316" t="s">
        <v>16</v>
      </c>
      <c r="K316" t="s">
        <v>24</v>
      </c>
      <c r="L316">
        <v>47</v>
      </c>
      <c r="M316" t="str">
        <f t="shared" si="4"/>
        <v>Middle Age31-54</v>
      </c>
      <c r="N316" t="s">
        <v>15</v>
      </c>
    </row>
    <row r="317" spans="1:14" x14ac:dyDescent="0.3">
      <c r="A317">
        <v>21213</v>
      </c>
      <c r="B317" t="s">
        <v>37</v>
      </c>
      <c r="C317" t="s">
        <v>40</v>
      </c>
      <c r="D317" s="3">
        <v>70000</v>
      </c>
      <c r="E317">
        <v>0</v>
      </c>
      <c r="F317" t="s">
        <v>13</v>
      </c>
      <c r="G317" t="s">
        <v>21</v>
      </c>
      <c r="H317" t="s">
        <v>18</v>
      </c>
      <c r="I317">
        <v>1</v>
      </c>
      <c r="J317" t="s">
        <v>23</v>
      </c>
      <c r="K317" t="s">
        <v>24</v>
      </c>
      <c r="L317">
        <v>41</v>
      </c>
      <c r="M317" t="str">
        <f t="shared" si="4"/>
        <v>Middle Age31-54</v>
      </c>
      <c r="N317" t="s">
        <v>18</v>
      </c>
    </row>
    <row r="318" spans="1:14" x14ac:dyDescent="0.3">
      <c r="A318">
        <v>17352</v>
      </c>
      <c r="B318" t="s">
        <v>36</v>
      </c>
      <c r="C318" t="s">
        <v>40</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40</v>
      </c>
      <c r="D319" s="3">
        <v>30000</v>
      </c>
      <c r="E319">
        <v>0</v>
      </c>
      <c r="F319" t="s">
        <v>13</v>
      </c>
      <c r="G319" t="s">
        <v>20</v>
      </c>
      <c r="H319" t="s">
        <v>15</v>
      </c>
      <c r="I319">
        <v>0</v>
      </c>
      <c r="J319" t="s">
        <v>16</v>
      </c>
      <c r="K319" t="s">
        <v>17</v>
      </c>
      <c r="L319">
        <v>35</v>
      </c>
      <c r="M319" t="str">
        <f t="shared" si="4"/>
        <v>Middle Age31-54</v>
      </c>
      <c r="N319" t="s">
        <v>15</v>
      </c>
    </row>
    <row r="320" spans="1:14" x14ac:dyDescent="0.3">
      <c r="A320">
        <v>19066</v>
      </c>
      <c r="B320" t="s">
        <v>36</v>
      </c>
      <c r="C320" t="s">
        <v>40</v>
      </c>
      <c r="D320" s="3">
        <v>130000</v>
      </c>
      <c r="E320">
        <v>4</v>
      </c>
      <c r="F320" t="s">
        <v>19</v>
      </c>
      <c r="G320" t="s">
        <v>21</v>
      </c>
      <c r="H320" t="s">
        <v>18</v>
      </c>
      <c r="I320">
        <v>3</v>
      </c>
      <c r="J320" t="s">
        <v>44</v>
      </c>
      <c r="K320" t="s">
        <v>17</v>
      </c>
      <c r="L320">
        <v>54</v>
      </c>
      <c r="M320" t="str">
        <f t="shared" si="4"/>
        <v>Middle Age31-54</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Age31-54</v>
      </c>
      <c r="N321" t="s">
        <v>18</v>
      </c>
    </row>
    <row r="322" spans="1:14" x14ac:dyDescent="0.3">
      <c r="A322">
        <v>20228</v>
      </c>
      <c r="B322" t="s">
        <v>36</v>
      </c>
      <c r="C322" t="s">
        <v>40</v>
      </c>
      <c r="D322" s="3">
        <v>100000</v>
      </c>
      <c r="E322">
        <v>0</v>
      </c>
      <c r="F322" t="s">
        <v>31</v>
      </c>
      <c r="G322" t="s">
        <v>28</v>
      </c>
      <c r="H322" t="s">
        <v>15</v>
      </c>
      <c r="I322">
        <v>0</v>
      </c>
      <c r="J322" t="s">
        <v>22</v>
      </c>
      <c r="K322" t="s">
        <v>24</v>
      </c>
      <c r="L322">
        <v>40</v>
      </c>
      <c r="M322" t="str">
        <f t="shared" si="4"/>
        <v>Middle Age31-54</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 "Old 55+", IF(L323&gt;=31, "Middle Age31-54",IF(L323&lt;31,"Adolescent0-30","Invalid")))</f>
        <v>Middle Age31-54</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Age31-54</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Age31-54</v>
      </c>
      <c r="N325" t="s">
        <v>15</v>
      </c>
    </row>
    <row r="326" spans="1:14" x14ac:dyDescent="0.3">
      <c r="A326">
        <v>22930</v>
      </c>
      <c r="B326" t="s">
        <v>36</v>
      </c>
      <c r="C326" t="s">
        <v>40</v>
      </c>
      <c r="D326" s="3">
        <v>90000</v>
      </c>
      <c r="E326">
        <v>4</v>
      </c>
      <c r="F326" t="s">
        <v>13</v>
      </c>
      <c r="G326" t="s">
        <v>21</v>
      </c>
      <c r="H326" t="s">
        <v>15</v>
      </c>
      <c r="I326">
        <v>0</v>
      </c>
      <c r="J326" t="s">
        <v>26</v>
      </c>
      <c r="K326" t="s">
        <v>24</v>
      </c>
      <c r="L326">
        <v>38</v>
      </c>
      <c r="M326" t="str">
        <f t="shared" si="5"/>
        <v>Middle Age31-54</v>
      </c>
      <c r="N326" t="s">
        <v>15</v>
      </c>
    </row>
    <row r="327" spans="1:14" x14ac:dyDescent="0.3">
      <c r="A327">
        <v>23780</v>
      </c>
      <c r="B327" t="s">
        <v>37</v>
      </c>
      <c r="C327" t="s">
        <v>40</v>
      </c>
      <c r="D327" s="3">
        <v>40000</v>
      </c>
      <c r="E327">
        <v>2</v>
      </c>
      <c r="F327" t="s">
        <v>19</v>
      </c>
      <c r="G327" t="s">
        <v>20</v>
      </c>
      <c r="H327" t="s">
        <v>18</v>
      </c>
      <c r="I327">
        <v>2</v>
      </c>
      <c r="J327" t="s">
        <v>16</v>
      </c>
      <c r="K327" t="s">
        <v>17</v>
      </c>
      <c r="L327">
        <v>36</v>
      </c>
      <c r="M327" t="str">
        <f t="shared" si="5"/>
        <v>Middle Age31-54</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Adolescent0-30</v>
      </c>
      <c r="N328" t="s">
        <v>15</v>
      </c>
    </row>
    <row r="329" spans="1:14" x14ac:dyDescent="0.3">
      <c r="A329">
        <v>28379</v>
      </c>
      <c r="B329" t="s">
        <v>36</v>
      </c>
      <c r="C329" t="s">
        <v>40</v>
      </c>
      <c r="D329" s="3">
        <v>30000</v>
      </c>
      <c r="E329">
        <v>1</v>
      </c>
      <c r="F329" t="s">
        <v>13</v>
      </c>
      <c r="G329" t="s">
        <v>14</v>
      </c>
      <c r="H329" t="s">
        <v>15</v>
      </c>
      <c r="I329">
        <v>2</v>
      </c>
      <c r="J329" t="s">
        <v>16</v>
      </c>
      <c r="K329" t="s">
        <v>17</v>
      </c>
      <c r="L329">
        <v>40</v>
      </c>
      <c r="M329" t="str">
        <f t="shared" si="5"/>
        <v>Middle Age31-54</v>
      </c>
      <c r="N329" t="s">
        <v>18</v>
      </c>
    </row>
    <row r="330" spans="1:14" x14ac:dyDescent="0.3">
      <c r="A330">
        <v>14865</v>
      </c>
      <c r="B330" t="s">
        <v>37</v>
      </c>
      <c r="C330" t="s">
        <v>40</v>
      </c>
      <c r="D330" s="3">
        <v>40000</v>
      </c>
      <c r="E330">
        <v>2</v>
      </c>
      <c r="F330" t="s">
        <v>19</v>
      </c>
      <c r="G330" t="s">
        <v>20</v>
      </c>
      <c r="H330" t="s">
        <v>15</v>
      </c>
      <c r="I330">
        <v>2</v>
      </c>
      <c r="J330" t="s">
        <v>26</v>
      </c>
      <c r="K330" t="s">
        <v>17</v>
      </c>
      <c r="L330">
        <v>36</v>
      </c>
      <c r="M330" t="str">
        <f t="shared" si="5"/>
        <v>Middle Age31-54</v>
      </c>
      <c r="N330" t="s">
        <v>18</v>
      </c>
    </row>
    <row r="331" spans="1:14" x14ac:dyDescent="0.3">
      <c r="A331">
        <v>12663</v>
      </c>
      <c r="B331" t="s">
        <v>36</v>
      </c>
      <c r="C331" t="s">
        <v>39</v>
      </c>
      <c r="D331" s="3">
        <v>90000</v>
      </c>
      <c r="E331">
        <v>5</v>
      </c>
      <c r="F331" t="s">
        <v>29</v>
      </c>
      <c r="G331" t="s">
        <v>14</v>
      </c>
      <c r="H331" t="s">
        <v>15</v>
      </c>
      <c r="I331">
        <v>2</v>
      </c>
      <c r="J331" t="s">
        <v>44</v>
      </c>
      <c r="K331" t="s">
        <v>17</v>
      </c>
      <c r="L331">
        <v>59</v>
      </c>
      <c r="M331" t="str">
        <f t="shared" si="5"/>
        <v>Old 55+</v>
      </c>
      <c r="N331" t="s">
        <v>18</v>
      </c>
    </row>
    <row r="332" spans="1:14" x14ac:dyDescent="0.3">
      <c r="A332">
        <v>24898</v>
      </c>
      <c r="B332" t="s">
        <v>37</v>
      </c>
      <c r="C332" t="s">
        <v>39</v>
      </c>
      <c r="D332" s="3">
        <v>80000</v>
      </c>
      <c r="E332">
        <v>0</v>
      </c>
      <c r="F332" t="s">
        <v>13</v>
      </c>
      <c r="G332" t="s">
        <v>21</v>
      </c>
      <c r="H332" t="s">
        <v>15</v>
      </c>
      <c r="I332">
        <v>3</v>
      </c>
      <c r="J332" t="s">
        <v>44</v>
      </c>
      <c r="K332" t="s">
        <v>24</v>
      </c>
      <c r="L332">
        <v>32</v>
      </c>
      <c r="M332" t="str">
        <f t="shared" si="5"/>
        <v>Middle Age31-54</v>
      </c>
      <c r="N332" t="s">
        <v>18</v>
      </c>
    </row>
    <row r="333" spans="1:14" x14ac:dyDescent="0.3">
      <c r="A333">
        <v>19508</v>
      </c>
      <c r="B333" t="s">
        <v>36</v>
      </c>
      <c r="C333" t="s">
        <v>40</v>
      </c>
      <c r="D333" s="3">
        <v>10000</v>
      </c>
      <c r="E333">
        <v>0</v>
      </c>
      <c r="F333" t="s">
        <v>29</v>
      </c>
      <c r="G333" t="s">
        <v>25</v>
      </c>
      <c r="H333" t="s">
        <v>18</v>
      </c>
      <c r="I333">
        <v>2</v>
      </c>
      <c r="J333" t="s">
        <v>16</v>
      </c>
      <c r="K333" t="s">
        <v>17</v>
      </c>
      <c r="L333">
        <v>30</v>
      </c>
      <c r="M333" t="str">
        <f t="shared" si="5"/>
        <v>Adolescent0-30</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Age31-54</v>
      </c>
      <c r="N334" t="s">
        <v>15</v>
      </c>
    </row>
    <row r="335" spans="1:14" x14ac:dyDescent="0.3">
      <c r="A335">
        <v>18160</v>
      </c>
      <c r="B335" t="s">
        <v>36</v>
      </c>
      <c r="C335" t="s">
        <v>40</v>
      </c>
      <c r="D335" s="3">
        <v>130000</v>
      </c>
      <c r="E335">
        <v>3</v>
      </c>
      <c r="F335" t="s">
        <v>27</v>
      </c>
      <c r="G335" t="s">
        <v>21</v>
      </c>
      <c r="H335" t="s">
        <v>15</v>
      </c>
      <c r="I335">
        <v>4</v>
      </c>
      <c r="J335" t="s">
        <v>23</v>
      </c>
      <c r="K335" t="s">
        <v>17</v>
      </c>
      <c r="L335">
        <v>51</v>
      </c>
      <c r="M335" t="str">
        <f t="shared" si="5"/>
        <v>Middle Age31-54</v>
      </c>
      <c r="N335" t="s">
        <v>15</v>
      </c>
    </row>
    <row r="336" spans="1:14" x14ac:dyDescent="0.3">
      <c r="A336">
        <v>25241</v>
      </c>
      <c r="B336" t="s">
        <v>36</v>
      </c>
      <c r="C336" t="s">
        <v>40</v>
      </c>
      <c r="D336" s="3">
        <v>90000</v>
      </c>
      <c r="E336">
        <v>2</v>
      </c>
      <c r="F336" t="s">
        <v>13</v>
      </c>
      <c r="G336" t="s">
        <v>21</v>
      </c>
      <c r="H336" t="s">
        <v>15</v>
      </c>
      <c r="I336">
        <v>1</v>
      </c>
      <c r="J336" t="s">
        <v>23</v>
      </c>
      <c r="K336" t="s">
        <v>24</v>
      </c>
      <c r="L336">
        <v>47</v>
      </c>
      <c r="M336" t="str">
        <f t="shared" si="5"/>
        <v>Middle Age31-54</v>
      </c>
      <c r="N336" t="s">
        <v>18</v>
      </c>
    </row>
    <row r="337" spans="1:14" x14ac:dyDescent="0.3">
      <c r="A337">
        <v>24369</v>
      </c>
      <c r="B337" t="s">
        <v>36</v>
      </c>
      <c r="C337" t="s">
        <v>40</v>
      </c>
      <c r="D337" s="3">
        <v>80000</v>
      </c>
      <c r="E337">
        <v>5</v>
      </c>
      <c r="F337" t="s">
        <v>31</v>
      </c>
      <c r="G337" t="s">
        <v>28</v>
      </c>
      <c r="H337" t="s">
        <v>18</v>
      </c>
      <c r="I337">
        <v>2</v>
      </c>
      <c r="J337" t="s">
        <v>16</v>
      </c>
      <c r="K337" t="s">
        <v>24</v>
      </c>
      <c r="L337">
        <v>39</v>
      </c>
      <c r="M337" t="str">
        <f t="shared" si="5"/>
        <v>Middle Age31-54</v>
      </c>
      <c r="N337" t="s">
        <v>18</v>
      </c>
    </row>
    <row r="338" spans="1:14" x14ac:dyDescent="0.3">
      <c r="A338">
        <v>27165</v>
      </c>
      <c r="B338" t="s">
        <v>37</v>
      </c>
      <c r="C338" t="s">
        <v>40</v>
      </c>
      <c r="D338" s="3">
        <v>20000</v>
      </c>
      <c r="E338">
        <v>0</v>
      </c>
      <c r="F338" t="s">
        <v>29</v>
      </c>
      <c r="G338" t="s">
        <v>25</v>
      </c>
      <c r="H338" t="s">
        <v>18</v>
      </c>
      <c r="I338">
        <v>2</v>
      </c>
      <c r="J338" t="s">
        <v>16</v>
      </c>
      <c r="K338" t="s">
        <v>17</v>
      </c>
      <c r="L338">
        <v>34</v>
      </c>
      <c r="M338" t="str">
        <f t="shared" si="5"/>
        <v>Middle Age31-54</v>
      </c>
      <c r="N338" t="s">
        <v>18</v>
      </c>
    </row>
    <row r="339" spans="1:14" x14ac:dyDescent="0.3">
      <c r="A339">
        <v>29424</v>
      </c>
      <c r="B339" t="s">
        <v>36</v>
      </c>
      <c r="C339" t="s">
        <v>40</v>
      </c>
      <c r="D339" s="3">
        <v>10000</v>
      </c>
      <c r="E339">
        <v>0</v>
      </c>
      <c r="F339" t="s">
        <v>29</v>
      </c>
      <c r="G339" t="s">
        <v>25</v>
      </c>
      <c r="H339" t="s">
        <v>15</v>
      </c>
      <c r="I339">
        <v>2</v>
      </c>
      <c r="J339" t="s">
        <v>16</v>
      </c>
      <c r="K339" t="s">
        <v>17</v>
      </c>
      <c r="L339">
        <v>32</v>
      </c>
      <c r="M339" t="str">
        <f t="shared" si="5"/>
        <v>Middle Age31-54</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Age31-54</v>
      </c>
      <c r="N340" t="s">
        <v>15</v>
      </c>
    </row>
    <row r="341" spans="1:14" x14ac:dyDescent="0.3">
      <c r="A341">
        <v>14554</v>
      </c>
      <c r="B341" t="s">
        <v>36</v>
      </c>
      <c r="C341" t="s">
        <v>40</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40</v>
      </c>
      <c r="D342" s="3">
        <v>30000</v>
      </c>
      <c r="E342">
        <v>0</v>
      </c>
      <c r="F342" t="s">
        <v>19</v>
      </c>
      <c r="G342" t="s">
        <v>20</v>
      </c>
      <c r="H342" t="s">
        <v>15</v>
      </c>
      <c r="I342">
        <v>1</v>
      </c>
      <c r="J342" t="s">
        <v>22</v>
      </c>
      <c r="K342" t="s">
        <v>17</v>
      </c>
      <c r="L342">
        <v>30</v>
      </c>
      <c r="M342" t="str">
        <f t="shared" si="5"/>
        <v>Adolescent0-30</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Age31-54</v>
      </c>
      <c r="N343" t="s">
        <v>15</v>
      </c>
    </row>
    <row r="344" spans="1:14" x14ac:dyDescent="0.3">
      <c r="A344">
        <v>19183</v>
      </c>
      <c r="B344" t="s">
        <v>37</v>
      </c>
      <c r="C344" t="s">
        <v>40</v>
      </c>
      <c r="D344" s="3">
        <v>10000</v>
      </c>
      <c r="E344">
        <v>0</v>
      </c>
      <c r="F344" t="s">
        <v>29</v>
      </c>
      <c r="G344" t="s">
        <v>25</v>
      </c>
      <c r="H344" t="s">
        <v>15</v>
      </c>
      <c r="I344">
        <v>2</v>
      </c>
      <c r="J344" t="s">
        <v>26</v>
      </c>
      <c r="K344" t="s">
        <v>17</v>
      </c>
      <c r="L344">
        <v>35</v>
      </c>
      <c r="M344" t="str">
        <f t="shared" si="5"/>
        <v>Middle Age31-54</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Age31-54</v>
      </c>
      <c r="N345" t="s">
        <v>18</v>
      </c>
    </row>
    <row r="346" spans="1:14" x14ac:dyDescent="0.3">
      <c r="A346">
        <v>17848</v>
      </c>
      <c r="B346" t="s">
        <v>37</v>
      </c>
      <c r="C346" t="s">
        <v>40</v>
      </c>
      <c r="D346" s="3">
        <v>30000</v>
      </c>
      <c r="E346">
        <v>0</v>
      </c>
      <c r="F346" t="s">
        <v>19</v>
      </c>
      <c r="G346" t="s">
        <v>20</v>
      </c>
      <c r="H346" t="s">
        <v>18</v>
      </c>
      <c r="I346">
        <v>1</v>
      </c>
      <c r="J346" t="s">
        <v>22</v>
      </c>
      <c r="K346" t="s">
        <v>17</v>
      </c>
      <c r="L346">
        <v>31</v>
      </c>
      <c r="M346" t="str">
        <f t="shared" si="5"/>
        <v>Middle Age31-54</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Age31-54</v>
      </c>
      <c r="N347" t="s">
        <v>15</v>
      </c>
    </row>
    <row r="348" spans="1:14" x14ac:dyDescent="0.3">
      <c r="A348">
        <v>25651</v>
      </c>
      <c r="B348" t="s">
        <v>36</v>
      </c>
      <c r="C348" t="s">
        <v>40</v>
      </c>
      <c r="D348" s="3">
        <v>40000</v>
      </c>
      <c r="E348">
        <v>1</v>
      </c>
      <c r="F348" t="s">
        <v>13</v>
      </c>
      <c r="G348" t="s">
        <v>14</v>
      </c>
      <c r="H348" t="s">
        <v>18</v>
      </c>
      <c r="I348">
        <v>0</v>
      </c>
      <c r="J348" t="s">
        <v>16</v>
      </c>
      <c r="K348" t="s">
        <v>17</v>
      </c>
      <c r="L348">
        <v>43</v>
      </c>
      <c r="M348" t="str">
        <f t="shared" si="5"/>
        <v>Middle Age31-54</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Age31-54</v>
      </c>
      <c r="N349" t="s">
        <v>15</v>
      </c>
    </row>
    <row r="350" spans="1:14" x14ac:dyDescent="0.3">
      <c r="A350">
        <v>23915</v>
      </c>
      <c r="B350" t="s">
        <v>36</v>
      </c>
      <c r="C350" t="s">
        <v>40</v>
      </c>
      <c r="D350" s="3">
        <v>20000</v>
      </c>
      <c r="E350">
        <v>2</v>
      </c>
      <c r="F350" t="s">
        <v>27</v>
      </c>
      <c r="G350" t="s">
        <v>25</v>
      </c>
      <c r="H350" t="s">
        <v>15</v>
      </c>
      <c r="I350">
        <v>2</v>
      </c>
      <c r="J350" t="s">
        <v>16</v>
      </c>
      <c r="K350" t="s">
        <v>17</v>
      </c>
      <c r="L350">
        <v>42</v>
      </c>
      <c r="M350" t="str">
        <f t="shared" si="5"/>
        <v>Middle Age31-54</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Adolescent0-30</v>
      </c>
      <c r="N351" t="s">
        <v>15</v>
      </c>
    </row>
    <row r="352" spans="1:14" x14ac:dyDescent="0.3">
      <c r="A352">
        <v>27878</v>
      </c>
      <c r="B352" t="s">
        <v>37</v>
      </c>
      <c r="C352" t="s">
        <v>40</v>
      </c>
      <c r="D352" s="3">
        <v>20000</v>
      </c>
      <c r="E352">
        <v>0</v>
      </c>
      <c r="F352" t="s">
        <v>19</v>
      </c>
      <c r="G352" t="s">
        <v>25</v>
      </c>
      <c r="H352" t="s">
        <v>18</v>
      </c>
      <c r="I352">
        <v>0</v>
      </c>
      <c r="J352" t="s">
        <v>16</v>
      </c>
      <c r="K352" t="s">
        <v>24</v>
      </c>
      <c r="L352">
        <v>28</v>
      </c>
      <c r="M352" t="str">
        <f t="shared" si="5"/>
        <v>Adolescent0-30</v>
      </c>
      <c r="N352" t="s">
        <v>15</v>
      </c>
    </row>
    <row r="353" spans="1:14" x14ac:dyDescent="0.3">
      <c r="A353">
        <v>13572</v>
      </c>
      <c r="B353" t="s">
        <v>37</v>
      </c>
      <c r="C353" t="s">
        <v>40</v>
      </c>
      <c r="D353" s="3">
        <v>10000</v>
      </c>
      <c r="E353">
        <v>3</v>
      </c>
      <c r="F353" t="s">
        <v>27</v>
      </c>
      <c r="G353" t="s">
        <v>25</v>
      </c>
      <c r="H353" t="s">
        <v>15</v>
      </c>
      <c r="I353">
        <v>0</v>
      </c>
      <c r="J353" t="s">
        <v>16</v>
      </c>
      <c r="K353" t="s">
        <v>17</v>
      </c>
      <c r="L353">
        <v>37</v>
      </c>
      <c r="M353" t="str">
        <f t="shared" si="5"/>
        <v>Middle Age31-54</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Age31-54</v>
      </c>
      <c r="N354" t="s">
        <v>18</v>
      </c>
    </row>
    <row r="355" spans="1:14" x14ac:dyDescent="0.3">
      <c r="A355">
        <v>26354</v>
      </c>
      <c r="B355" t="s">
        <v>37</v>
      </c>
      <c r="C355" t="s">
        <v>40</v>
      </c>
      <c r="D355" s="3">
        <v>40000</v>
      </c>
      <c r="E355">
        <v>0</v>
      </c>
      <c r="F355" t="s">
        <v>31</v>
      </c>
      <c r="G355" t="s">
        <v>20</v>
      </c>
      <c r="H355" t="s">
        <v>18</v>
      </c>
      <c r="I355">
        <v>0</v>
      </c>
      <c r="J355" t="s">
        <v>16</v>
      </c>
      <c r="K355" t="s">
        <v>17</v>
      </c>
      <c r="L355">
        <v>38</v>
      </c>
      <c r="M355" t="str">
        <f t="shared" si="5"/>
        <v>Middle Age31-54</v>
      </c>
      <c r="N355" t="s">
        <v>15</v>
      </c>
    </row>
    <row r="356" spans="1:14" x14ac:dyDescent="0.3">
      <c r="A356">
        <v>14785</v>
      </c>
      <c r="B356" t="s">
        <v>37</v>
      </c>
      <c r="C356" t="s">
        <v>40</v>
      </c>
      <c r="D356" s="3">
        <v>30000</v>
      </c>
      <c r="E356">
        <v>1</v>
      </c>
      <c r="F356" t="s">
        <v>13</v>
      </c>
      <c r="G356" t="s">
        <v>20</v>
      </c>
      <c r="H356" t="s">
        <v>18</v>
      </c>
      <c r="I356">
        <v>1</v>
      </c>
      <c r="J356" t="s">
        <v>26</v>
      </c>
      <c r="K356" t="s">
        <v>17</v>
      </c>
      <c r="L356">
        <v>39</v>
      </c>
      <c r="M356" t="str">
        <f t="shared" si="5"/>
        <v>Middle Age31-54</v>
      </c>
      <c r="N356" t="s">
        <v>18</v>
      </c>
    </row>
    <row r="357" spans="1:14" x14ac:dyDescent="0.3">
      <c r="A357">
        <v>17238</v>
      </c>
      <c r="B357" t="s">
        <v>37</v>
      </c>
      <c r="C357" t="s">
        <v>40</v>
      </c>
      <c r="D357" s="3">
        <v>80000</v>
      </c>
      <c r="E357">
        <v>0</v>
      </c>
      <c r="F357" t="s">
        <v>13</v>
      </c>
      <c r="G357" t="s">
        <v>21</v>
      </c>
      <c r="H357" t="s">
        <v>15</v>
      </c>
      <c r="I357">
        <v>3</v>
      </c>
      <c r="J357" t="s">
        <v>44</v>
      </c>
      <c r="K357" t="s">
        <v>24</v>
      </c>
      <c r="L357">
        <v>32</v>
      </c>
      <c r="M357" t="str">
        <f t="shared" si="5"/>
        <v>Middle Age31-54</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Age31-54</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Age31-54</v>
      </c>
      <c r="N359" t="s">
        <v>18</v>
      </c>
    </row>
    <row r="360" spans="1:14" x14ac:dyDescent="0.3">
      <c r="A360">
        <v>12332</v>
      </c>
      <c r="B360" t="s">
        <v>36</v>
      </c>
      <c r="C360" t="s">
        <v>40</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40</v>
      </c>
      <c r="D361" s="3">
        <v>80000</v>
      </c>
      <c r="E361">
        <v>0</v>
      </c>
      <c r="F361" t="s">
        <v>13</v>
      </c>
      <c r="G361" t="s">
        <v>21</v>
      </c>
      <c r="H361" t="s">
        <v>15</v>
      </c>
      <c r="I361">
        <v>3</v>
      </c>
      <c r="J361" t="s">
        <v>44</v>
      </c>
      <c r="K361" t="s">
        <v>24</v>
      </c>
      <c r="L361">
        <v>30</v>
      </c>
      <c r="M361" t="str">
        <f t="shared" si="5"/>
        <v>Adolescent0-30</v>
      </c>
      <c r="N361" t="s">
        <v>18</v>
      </c>
    </row>
    <row r="362" spans="1:14" x14ac:dyDescent="0.3">
      <c r="A362">
        <v>13082</v>
      </c>
      <c r="B362" t="s">
        <v>37</v>
      </c>
      <c r="C362" t="s">
        <v>40</v>
      </c>
      <c r="D362" s="3">
        <v>130000</v>
      </c>
      <c r="E362">
        <v>0</v>
      </c>
      <c r="F362" t="s">
        <v>31</v>
      </c>
      <c r="G362" t="s">
        <v>28</v>
      </c>
      <c r="H362" t="s">
        <v>15</v>
      </c>
      <c r="I362">
        <v>0</v>
      </c>
      <c r="J362" t="s">
        <v>22</v>
      </c>
      <c r="K362" t="s">
        <v>24</v>
      </c>
      <c r="L362">
        <v>48</v>
      </c>
      <c r="M362" t="str">
        <f t="shared" si="5"/>
        <v>Middle Age31-54</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Adolescent0-30</v>
      </c>
      <c r="N363" t="s">
        <v>15</v>
      </c>
    </row>
    <row r="364" spans="1:14" x14ac:dyDescent="0.3">
      <c r="A364">
        <v>13687</v>
      </c>
      <c r="B364" t="s">
        <v>36</v>
      </c>
      <c r="C364" t="s">
        <v>40</v>
      </c>
      <c r="D364" s="3">
        <v>40000</v>
      </c>
      <c r="E364">
        <v>1</v>
      </c>
      <c r="F364" t="s">
        <v>13</v>
      </c>
      <c r="G364" t="s">
        <v>14</v>
      </c>
      <c r="H364" t="s">
        <v>15</v>
      </c>
      <c r="I364">
        <v>1</v>
      </c>
      <c r="J364" t="s">
        <v>16</v>
      </c>
      <c r="K364" t="s">
        <v>17</v>
      </c>
      <c r="L364">
        <v>33</v>
      </c>
      <c r="M364" t="str">
        <f t="shared" si="5"/>
        <v>Middle Age31-54</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Age31-54</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Age31-54</v>
      </c>
      <c r="N367" t="s">
        <v>15</v>
      </c>
    </row>
    <row r="368" spans="1:14" x14ac:dyDescent="0.3">
      <c r="A368">
        <v>17310</v>
      </c>
      <c r="B368" t="s">
        <v>36</v>
      </c>
      <c r="C368" t="s">
        <v>40</v>
      </c>
      <c r="D368" s="3">
        <v>60000</v>
      </c>
      <c r="E368">
        <v>1</v>
      </c>
      <c r="F368" t="s">
        <v>19</v>
      </c>
      <c r="G368" t="s">
        <v>14</v>
      </c>
      <c r="H368" t="s">
        <v>15</v>
      </c>
      <c r="I368">
        <v>1</v>
      </c>
      <c r="J368" t="s">
        <v>16</v>
      </c>
      <c r="K368" t="s">
        <v>24</v>
      </c>
      <c r="L368">
        <v>45</v>
      </c>
      <c r="M368" t="str">
        <f t="shared" si="5"/>
        <v>Middle Age31-54</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Age31-54</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Age31-54</v>
      </c>
      <c r="N371" t="s">
        <v>15</v>
      </c>
    </row>
    <row r="372" spans="1:14" x14ac:dyDescent="0.3">
      <c r="A372">
        <v>17324</v>
      </c>
      <c r="B372" t="s">
        <v>36</v>
      </c>
      <c r="C372" t="s">
        <v>39</v>
      </c>
      <c r="D372" s="3">
        <v>100000</v>
      </c>
      <c r="E372">
        <v>4</v>
      </c>
      <c r="F372" t="s">
        <v>13</v>
      </c>
      <c r="G372" t="s">
        <v>21</v>
      </c>
      <c r="H372" t="s">
        <v>15</v>
      </c>
      <c r="I372">
        <v>1</v>
      </c>
      <c r="J372" t="s">
        <v>44</v>
      </c>
      <c r="K372" t="s">
        <v>24</v>
      </c>
      <c r="L372">
        <v>46</v>
      </c>
      <c r="M372" t="str">
        <f t="shared" si="5"/>
        <v>Middle Age31-54</v>
      </c>
      <c r="N372" t="s">
        <v>18</v>
      </c>
    </row>
    <row r="373" spans="1:14" x14ac:dyDescent="0.3">
      <c r="A373">
        <v>22918</v>
      </c>
      <c r="B373" t="s">
        <v>37</v>
      </c>
      <c r="C373" t="s">
        <v>40</v>
      </c>
      <c r="D373" s="3">
        <v>80000</v>
      </c>
      <c r="E373">
        <v>5</v>
      </c>
      <c r="F373" t="s">
        <v>31</v>
      </c>
      <c r="G373" t="s">
        <v>28</v>
      </c>
      <c r="H373" t="s">
        <v>15</v>
      </c>
      <c r="I373">
        <v>3</v>
      </c>
      <c r="J373" t="s">
        <v>16</v>
      </c>
      <c r="K373" t="s">
        <v>24</v>
      </c>
      <c r="L373">
        <v>50</v>
      </c>
      <c r="M373" t="str">
        <f t="shared" si="5"/>
        <v>Middle Age31-54</v>
      </c>
      <c r="N373" t="s">
        <v>18</v>
      </c>
    </row>
    <row r="374" spans="1:14" x14ac:dyDescent="0.3">
      <c r="A374">
        <v>12510</v>
      </c>
      <c r="B374" t="s">
        <v>36</v>
      </c>
      <c r="C374" t="s">
        <v>40</v>
      </c>
      <c r="D374" s="3">
        <v>40000</v>
      </c>
      <c r="E374">
        <v>1</v>
      </c>
      <c r="F374" t="s">
        <v>13</v>
      </c>
      <c r="G374" t="s">
        <v>14</v>
      </c>
      <c r="H374" t="s">
        <v>15</v>
      </c>
      <c r="I374">
        <v>1</v>
      </c>
      <c r="J374" t="s">
        <v>16</v>
      </c>
      <c r="K374" t="s">
        <v>17</v>
      </c>
      <c r="L374">
        <v>43</v>
      </c>
      <c r="M374" t="str">
        <f t="shared" si="5"/>
        <v>Middle Age31-54</v>
      </c>
      <c r="N374" t="s">
        <v>15</v>
      </c>
    </row>
    <row r="375" spans="1:14" x14ac:dyDescent="0.3">
      <c r="A375">
        <v>25512</v>
      </c>
      <c r="B375" t="s">
        <v>37</v>
      </c>
      <c r="C375" t="s">
        <v>40</v>
      </c>
      <c r="D375" s="3">
        <v>20000</v>
      </c>
      <c r="E375">
        <v>0</v>
      </c>
      <c r="F375" t="s">
        <v>27</v>
      </c>
      <c r="G375" t="s">
        <v>25</v>
      </c>
      <c r="H375" t="s">
        <v>18</v>
      </c>
      <c r="I375">
        <v>1</v>
      </c>
      <c r="J375" t="s">
        <v>22</v>
      </c>
      <c r="K375" t="s">
        <v>17</v>
      </c>
      <c r="L375">
        <v>30</v>
      </c>
      <c r="M375" t="str">
        <f t="shared" si="5"/>
        <v>Adolescent0-30</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Age31-54</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40</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40</v>
      </c>
      <c r="D379" s="3">
        <v>130000</v>
      </c>
      <c r="E379">
        <v>3</v>
      </c>
      <c r="F379" t="s">
        <v>19</v>
      </c>
      <c r="G379" t="s">
        <v>21</v>
      </c>
      <c r="H379" t="s">
        <v>18</v>
      </c>
      <c r="I379">
        <v>3</v>
      </c>
      <c r="J379" t="s">
        <v>23</v>
      </c>
      <c r="K379" t="s">
        <v>17</v>
      </c>
      <c r="L379">
        <v>51</v>
      </c>
      <c r="M379" t="str">
        <f t="shared" si="5"/>
        <v>Middle Age31-54</v>
      </c>
      <c r="N379" t="s">
        <v>15</v>
      </c>
    </row>
    <row r="380" spans="1:14" x14ac:dyDescent="0.3">
      <c r="A380">
        <v>20417</v>
      </c>
      <c r="B380" t="s">
        <v>36</v>
      </c>
      <c r="C380" t="s">
        <v>40</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40</v>
      </c>
      <c r="D381" s="3">
        <v>60000</v>
      </c>
      <c r="E381">
        <v>3</v>
      </c>
      <c r="F381" t="s">
        <v>13</v>
      </c>
      <c r="G381" t="s">
        <v>21</v>
      </c>
      <c r="H381" t="s">
        <v>15</v>
      </c>
      <c r="I381">
        <v>2</v>
      </c>
      <c r="J381" t="s">
        <v>23</v>
      </c>
      <c r="K381" t="s">
        <v>24</v>
      </c>
      <c r="L381">
        <v>43</v>
      </c>
      <c r="M381" t="str">
        <f t="shared" si="5"/>
        <v>Middle Age31-54</v>
      </c>
      <c r="N381" t="s">
        <v>18</v>
      </c>
    </row>
    <row r="382" spans="1:14" x14ac:dyDescent="0.3">
      <c r="A382">
        <v>13620</v>
      </c>
      <c r="B382" t="s">
        <v>37</v>
      </c>
      <c r="C382" t="s">
        <v>40</v>
      </c>
      <c r="D382" s="3">
        <v>70000</v>
      </c>
      <c r="E382">
        <v>0</v>
      </c>
      <c r="F382" t="s">
        <v>13</v>
      </c>
      <c r="G382" t="s">
        <v>21</v>
      </c>
      <c r="H382" t="s">
        <v>18</v>
      </c>
      <c r="I382">
        <v>3</v>
      </c>
      <c r="J382" t="s">
        <v>44</v>
      </c>
      <c r="K382" t="s">
        <v>24</v>
      </c>
      <c r="L382">
        <v>30</v>
      </c>
      <c r="M382" t="str">
        <f t="shared" si="5"/>
        <v>Adolescent0-30</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40</v>
      </c>
      <c r="D384" s="3">
        <v>80000</v>
      </c>
      <c r="E384">
        <v>4</v>
      </c>
      <c r="F384" t="s">
        <v>19</v>
      </c>
      <c r="G384" t="s">
        <v>21</v>
      </c>
      <c r="H384" t="s">
        <v>15</v>
      </c>
      <c r="I384">
        <v>2</v>
      </c>
      <c r="J384" t="s">
        <v>44</v>
      </c>
      <c r="K384" t="s">
        <v>17</v>
      </c>
      <c r="L384">
        <v>53</v>
      </c>
      <c r="M384" t="str">
        <f t="shared" si="5"/>
        <v>Middle Age31-54</v>
      </c>
      <c r="N384" t="s">
        <v>18</v>
      </c>
    </row>
    <row r="385" spans="1:14" x14ac:dyDescent="0.3">
      <c r="A385">
        <v>17978</v>
      </c>
      <c r="B385" t="s">
        <v>36</v>
      </c>
      <c r="C385" t="s">
        <v>40</v>
      </c>
      <c r="D385" s="3">
        <v>40000</v>
      </c>
      <c r="E385">
        <v>0</v>
      </c>
      <c r="F385" t="s">
        <v>31</v>
      </c>
      <c r="G385" t="s">
        <v>20</v>
      </c>
      <c r="H385" t="s">
        <v>15</v>
      </c>
      <c r="I385">
        <v>0</v>
      </c>
      <c r="J385" t="s">
        <v>16</v>
      </c>
      <c r="K385" t="s">
        <v>17</v>
      </c>
      <c r="L385">
        <v>37</v>
      </c>
      <c r="M385" t="str">
        <f t="shared" si="5"/>
        <v>Middle Age31-54</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Adolescent0-30</v>
      </c>
      <c r="N386" t="s">
        <v>15</v>
      </c>
    </row>
    <row r="387" spans="1:14" x14ac:dyDescent="0.3">
      <c r="A387">
        <v>18018</v>
      </c>
      <c r="B387" t="s">
        <v>37</v>
      </c>
      <c r="C387" t="s">
        <v>40</v>
      </c>
      <c r="D387" s="3">
        <v>30000</v>
      </c>
      <c r="E387">
        <v>3</v>
      </c>
      <c r="F387" t="s">
        <v>19</v>
      </c>
      <c r="G387" t="s">
        <v>20</v>
      </c>
      <c r="H387" t="s">
        <v>15</v>
      </c>
      <c r="I387">
        <v>0</v>
      </c>
      <c r="J387" t="s">
        <v>16</v>
      </c>
      <c r="K387" t="s">
        <v>17</v>
      </c>
      <c r="L387">
        <v>43</v>
      </c>
      <c r="M387" t="str">
        <f t="shared" ref="M387:M450" si="6">IF(L387&gt;55, "Old 55+", IF(L387&gt;=31, "Middle Age31-54",IF(L387&lt;31,"Adolescent0-30","Invalid")))</f>
        <v>Middle Age31-54</v>
      </c>
      <c r="N387" t="s">
        <v>18</v>
      </c>
    </row>
    <row r="388" spans="1:14" x14ac:dyDescent="0.3">
      <c r="A388">
        <v>28957</v>
      </c>
      <c r="B388" t="s">
        <v>37</v>
      </c>
      <c r="C388" t="s">
        <v>39</v>
      </c>
      <c r="D388" s="3">
        <v>120000</v>
      </c>
      <c r="E388">
        <v>0</v>
      </c>
      <c r="F388" t="s">
        <v>29</v>
      </c>
      <c r="G388" t="s">
        <v>21</v>
      </c>
      <c r="H388" t="s">
        <v>15</v>
      </c>
      <c r="I388">
        <v>4</v>
      </c>
      <c r="J388" t="s">
        <v>44</v>
      </c>
      <c r="K388" t="s">
        <v>24</v>
      </c>
      <c r="L388">
        <v>34</v>
      </c>
      <c r="M388" t="str">
        <f t="shared" si="6"/>
        <v>Middle Age31-54</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Age31-54</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Age31-54</v>
      </c>
      <c r="N391" t="s">
        <v>15</v>
      </c>
    </row>
    <row r="392" spans="1:14" x14ac:dyDescent="0.3">
      <c r="A392">
        <v>21184</v>
      </c>
      <c r="B392" t="s">
        <v>37</v>
      </c>
      <c r="C392" t="s">
        <v>40</v>
      </c>
      <c r="D392" s="3">
        <v>70000</v>
      </c>
      <c r="E392">
        <v>0</v>
      </c>
      <c r="F392" t="s">
        <v>13</v>
      </c>
      <c r="G392" t="s">
        <v>21</v>
      </c>
      <c r="H392" t="s">
        <v>18</v>
      </c>
      <c r="I392">
        <v>1</v>
      </c>
      <c r="J392" t="s">
        <v>23</v>
      </c>
      <c r="K392" t="s">
        <v>24</v>
      </c>
      <c r="L392">
        <v>38</v>
      </c>
      <c r="M392" t="str">
        <f t="shared" si="6"/>
        <v>Middle Age31-54</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Age31-54</v>
      </c>
      <c r="N393" t="s">
        <v>15</v>
      </c>
    </row>
    <row r="394" spans="1:14" x14ac:dyDescent="0.3">
      <c r="A394">
        <v>24151</v>
      </c>
      <c r="B394" t="s">
        <v>37</v>
      </c>
      <c r="C394" t="s">
        <v>40</v>
      </c>
      <c r="D394" s="3">
        <v>20000</v>
      </c>
      <c r="E394">
        <v>1</v>
      </c>
      <c r="F394" t="s">
        <v>13</v>
      </c>
      <c r="G394" t="s">
        <v>20</v>
      </c>
      <c r="H394" t="s">
        <v>18</v>
      </c>
      <c r="I394">
        <v>0</v>
      </c>
      <c r="J394" t="s">
        <v>16</v>
      </c>
      <c r="K394" t="s">
        <v>17</v>
      </c>
      <c r="L394">
        <v>51</v>
      </c>
      <c r="M394" t="str">
        <f t="shared" si="6"/>
        <v>Middle Age31-54</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Age31-54</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Age31-54</v>
      </c>
      <c r="N396" t="s">
        <v>15</v>
      </c>
    </row>
    <row r="397" spans="1:14" x14ac:dyDescent="0.3">
      <c r="A397">
        <v>14926</v>
      </c>
      <c r="B397" t="s">
        <v>36</v>
      </c>
      <c r="C397" t="s">
        <v>40</v>
      </c>
      <c r="D397" s="3">
        <v>30000</v>
      </c>
      <c r="E397">
        <v>1</v>
      </c>
      <c r="F397" t="s">
        <v>13</v>
      </c>
      <c r="G397" t="s">
        <v>20</v>
      </c>
      <c r="H397" t="s">
        <v>15</v>
      </c>
      <c r="I397">
        <v>0</v>
      </c>
      <c r="J397" t="s">
        <v>16</v>
      </c>
      <c r="K397" t="s">
        <v>17</v>
      </c>
      <c r="L397">
        <v>38</v>
      </c>
      <c r="M397" t="str">
        <f t="shared" si="6"/>
        <v>Middle Age31-54</v>
      </c>
      <c r="N397" t="s">
        <v>15</v>
      </c>
    </row>
    <row r="398" spans="1:14" x14ac:dyDescent="0.3">
      <c r="A398">
        <v>16163</v>
      </c>
      <c r="B398" t="s">
        <v>37</v>
      </c>
      <c r="C398" t="s">
        <v>40</v>
      </c>
      <c r="D398" s="3">
        <v>60000</v>
      </c>
      <c r="E398">
        <v>2</v>
      </c>
      <c r="F398" t="s">
        <v>13</v>
      </c>
      <c r="G398" t="s">
        <v>21</v>
      </c>
      <c r="H398" t="s">
        <v>15</v>
      </c>
      <c r="I398">
        <v>1</v>
      </c>
      <c r="J398" t="s">
        <v>22</v>
      </c>
      <c r="K398" t="s">
        <v>24</v>
      </c>
      <c r="L398">
        <v>38</v>
      </c>
      <c r="M398" t="str">
        <f t="shared" si="6"/>
        <v>Middle Age31-54</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40</v>
      </c>
      <c r="D400" s="3">
        <v>30000</v>
      </c>
      <c r="E400">
        <v>1</v>
      </c>
      <c r="F400" t="s">
        <v>13</v>
      </c>
      <c r="G400" t="s">
        <v>20</v>
      </c>
      <c r="H400" t="s">
        <v>15</v>
      </c>
      <c r="I400">
        <v>1</v>
      </c>
      <c r="J400" t="s">
        <v>26</v>
      </c>
      <c r="K400" t="s">
        <v>17</v>
      </c>
      <c r="L400">
        <v>39</v>
      </c>
      <c r="M400" t="str">
        <f t="shared" si="6"/>
        <v>Middle Age31-54</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Age31-54</v>
      </c>
      <c r="N401" t="s">
        <v>15</v>
      </c>
    </row>
    <row r="402" spans="1:14" x14ac:dyDescent="0.3">
      <c r="A402">
        <v>25792</v>
      </c>
      <c r="B402" t="s">
        <v>37</v>
      </c>
      <c r="C402" t="s">
        <v>39</v>
      </c>
      <c r="D402" s="3">
        <v>110000</v>
      </c>
      <c r="E402">
        <v>3</v>
      </c>
      <c r="F402" t="s">
        <v>13</v>
      </c>
      <c r="G402" t="s">
        <v>28</v>
      </c>
      <c r="H402" t="s">
        <v>15</v>
      </c>
      <c r="I402">
        <v>4</v>
      </c>
      <c r="J402" t="s">
        <v>44</v>
      </c>
      <c r="K402" t="s">
        <v>17</v>
      </c>
      <c r="L402">
        <v>53</v>
      </c>
      <c r="M402" t="str">
        <f t="shared" si="6"/>
        <v>Middle Age31-54</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40</v>
      </c>
      <c r="D404" s="3">
        <v>10000</v>
      </c>
      <c r="E404">
        <v>1</v>
      </c>
      <c r="F404" t="s">
        <v>31</v>
      </c>
      <c r="G404" t="s">
        <v>25</v>
      </c>
      <c r="H404" t="s">
        <v>15</v>
      </c>
      <c r="I404">
        <v>0</v>
      </c>
      <c r="J404" t="s">
        <v>16</v>
      </c>
      <c r="K404" t="s">
        <v>17</v>
      </c>
      <c r="L404">
        <v>44</v>
      </c>
      <c r="M404" t="str">
        <f t="shared" si="6"/>
        <v>Middle Age31-54</v>
      </c>
      <c r="N404" t="s">
        <v>18</v>
      </c>
    </row>
    <row r="405" spans="1:14" x14ac:dyDescent="0.3">
      <c r="A405">
        <v>17882</v>
      </c>
      <c r="B405" t="s">
        <v>36</v>
      </c>
      <c r="C405" t="s">
        <v>40</v>
      </c>
      <c r="D405" s="3">
        <v>20000</v>
      </c>
      <c r="E405">
        <v>1</v>
      </c>
      <c r="F405" t="s">
        <v>31</v>
      </c>
      <c r="G405" t="s">
        <v>20</v>
      </c>
      <c r="H405" t="s">
        <v>15</v>
      </c>
      <c r="I405">
        <v>0</v>
      </c>
      <c r="J405" t="s">
        <v>16</v>
      </c>
      <c r="K405" t="s">
        <v>17</v>
      </c>
      <c r="L405">
        <v>44</v>
      </c>
      <c r="M405" t="str">
        <f t="shared" si="6"/>
        <v>Middle Age31-54</v>
      </c>
      <c r="N405" t="s">
        <v>18</v>
      </c>
    </row>
    <row r="406" spans="1:14" x14ac:dyDescent="0.3">
      <c r="A406">
        <v>22174</v>
      </c>
      <c r="B406" t="s">
        <v>36</v>
      </c>
      <c r="C406" t="s">
        <v>40</v>
      </c>
      <c r="D406" s="3">
        <v>30000</v>
      </c>
      <c r="E406">
        <v>3</v>
      </c>
      <c r="F406" t="s">
        <v>27</v>
      </c>
      <c r="G406" t="s">
        <v>14</v>
      </c>
      <c r="H406" t="s">
        <v>15</v>
      </c>
      <c r="I406">
        <v>2</v>
      </c>
      <c r="J406" t="s">
        <v>23</v>
      </c>
      <c r="K406" t="s">
        <v>24</v>
      </c>
      <c r="L406">
        <v>54</v>
      </c>
      <c r="M406" t="str">
        <f t="shared" si="6"/>
        <v>Middle Age31-54</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Age31-54</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Age31-54</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Age31-54</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Age31-54</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Age31-54</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Age31-54</v>
      </c>
      <c r="N412" t="s">
        <v>15</v>
      </c>
    </row>
    <row r="413" spans="1:14" x14ac:dyDescent="0.3">
      <c r="A413">
        <v>11116</v>
      </c>
      <c r="B413" t="s">
        <v>36</v>
      </c>
      <c r="C413" t="s">
        <v>40</v>
      </c>
      <c r="D413" s="3">
        <v>70000</v>
      </c>
      <c r="E413">
        <v>5</v>
      </c>
      <c r="F413" t="s">
        <v>19</v>
      </c>
      <c r="G413" t="s">
        <v>14</v>
      </c>
      <c r="H413" t="s">
        <v>15</v>
      </c>
      <c r="I413">
        <v>2</v>
      </c>
      <c r="J413" t="s">
        <v>23</v>
      </c>
      <c r="K413" t="s">
        <v>24</v>
      </c>
      <c r="L413">
        <v>43</v>
      </c>
      <c r="M413" t="str">
        <f t="shared" si="6"/>
        <v>Middle Age31-54</v>
      </c>
      <c r="N413" t="s">
        <v>18</v>
      </c>
    </row>
    <row r="414" spans="1:14" x14ac:dyDescent="0.3">
      <c r="A414">
        <v>20053</v>
      </c>
      <c r="B414" t="s">
        <v>37</v>
      </c>
      <c r="C414" t="s">
        <v>40</v>
      </c>
      <c r="D414" s="3">
        <v>40000</v>
      </c>
      <c r="E414">
        <v>2</v>
      </c>
      <c r="F414" t="s">
        <v>19</v>
      </c>
      <c r="G414" t="s">
        <v>20</v>
      </c>
      <c r="H414" t="s">
        <v>15</v>
      </c>
      <c r="I414">
        <v>0</v>
      </c>
      <c r="J414" t="s">
        <v>16</v>
      </c>
      <c r="K414" t="s">
        <v>17</v>
      </c>
      <c r="L414">
        <v>34</v>
      </c>
      <c r="M414" t="str">
        <f t="shared" si="6"/>
        <v>Middle Age31-54</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Age31-54</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Age31-54</v>
      </c>
      <c r="N417" t="s">
        <v>18</v>
      </c>
    </row>
    <row r="418" spans="1:14" x14ac:dyDescent="0.3">
      <c r="A418">
        <v>11897</v>
      </c>
      <c r="B418" t="s">
        <v>37</v>
      </c>
      <c r="C418" t="s">
        <v>40</v>
      </c>
      <c r="D418" s="3">
        <v>60000</v>
      </c>
      <c r="E418">
        <v>2</v>
      </c>
      <c r="F418" t="s">
        <v>13</v>
      </c>
      <c r="G418" t="s">
        <v>21</v>
      </c>
      <c r="H418" t="s">
        <v>18</v>
      </c>
      <c r="I418">
        <v>1</v>
      </c>
      <c r="J418" t="s">
        <v>16</v>
      </c>
      <c r="K418" t="s">
        <v>24</v>
      </c>
      <c r="L418">
        <v>37</v>
      </c>
      <c r="M418" t="str">
        <f t="shared" si="6"/>
        <v>Middle Age31-54</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40</v>
      </c>
      <c r="D420" s="3">
        <v>30000</v>
      </c>
      <c r="E420">
        <v>1</v>
      </c>
      <c r="F420" t="s">
        <v>13</v>
      </c>
      <c r="G420" t="s">
        <v>14</v>
      </c>
      <c r="H420" t="s">
        <v>15</v>
      </c>
      <c r="I420">
        <v>2</v>
      </c>
      <c r="J420" t="s">
        <v>16</v>
      </c>
      <c r="K420" t="s">
        <v>17</v>
      </c>
      <c r="L420">
        <v>41</v>
      </c>
      <c r="M420" t="str">
        <f t="shared" si="6"/>
        <v>Middle Age31-54</v>
      </c>
      <c r="N420" t="s">
        <v>15</v>
      </c>
    </row>
    <row r="421" spans="1:14" x14ac:dyDescent="0.3">
      <c r="A421">
        <v>19255</v>
      </c>
      <c r="B421" t="s">
        <v>37</v>
      </c>
      <c r="C421" t="s">
        <v>40</v>
      </c>
      <c r="D421" s="3">
        <v>10000</v>
      </c>
      <c r="E421">
        <v>2</v>
      </c>
      <c r="F421" t="s">
        <v>19</v>
      </c>
      <c r="G421" t="s">
        <v>25</v>
      </c>
      <c r="H421" t="s">
        <v>15</v>
      </c>
      <c r="I421">
        <v>1</v>
      </c>
      <c r="J421" t="s">
        <v>16</v>
      </c>
      <c r="K421" t="s">
        <v>17</v>
      </c>
      <c r="L421">
        <v>51</v>
      </c>
      <c r="M421" t="str">
        <f t="shared" si="6"/>
        <v>Middle Age31-54</v>
      </c>
      <c r="N421" t="s">
        <v>15</v>
      </c>
    </row>
    <row r="422" spans="1:14" x14ac:dyDescent="0.3">
      <c r="A422">
        <v>18153</v>
      </c>
      <c r="B422" t="s">
        <v>36</v>
      </c>
      <c r="C422" t="s">
        <v>39</v>
      </c>
      <c r="D422" s="3">
        <v>100000</v>
      </c>
      <c r="E422">
        <v>2</v>
      </c>
      <c r="F422" t="s">
        <v>13</v>
      </c>
      <c r="G422" t="s">
        <v>28</v>
      </c>
      <c r="H422" t="s">
        <v>15</v>
      </c>
      <c r="I422">
        <v>4</v>
      </c>
      <c r="J422" t="s">
        <v>44</v>
      </c>
      <c r="K422" t="s">
        <v>17</v>
      </c>
      <c r="L422">
        <v>59</v>
      </c>
      <c r="M422" t="str">
        <f t="shared" si="6"/>
        <v>Old 55+</v>
      </c>
      <c r="N422" t="s">
        <v>18</v>
      </c>
    </row>
    <row r="423" spans="1:14" x14ac:dyDescent="0.3">
      <c r="A423">
        <v>14547</v>
      </c>
      <c r="B423" t="s">
        <v>36</v>
      </c>
      <c r="C423" t="s">
        <v>40</v>
      </c>
      <c r="D423" s="3">
        <v>10000</v>
      </c>
      <c r="E423">
        <v>2</v>
      </c>
      <c r="F423" t="s">
        <v>19</v>
      </c>
      <c r="G423" t="s">
        <v>25</v>
      </c>
      <c r="H423" t="s">
        <v>15</v>
      </c>
      <c r="I423">
        <v>0</v>
      </c>
      <c r="J423" t="s">
        <v>26</v>
      </c>
      <c r="K423" t="s">
        <v>17</v>
      </c>
      <c r="L423">
        <v>51</v>
      </c>
      <c r="M423" t="str">
        <f t="shared" si="6"/>
        <v>Middle Age31-54</v>
      </c>
      <c r="N423" t="s">
        <v>18</v>
      </c>
    </row>
    <row r="424" spans="1:14" x14ac:dyDescent="0.3">
      <c r="A424">
        <v>24901</v>
      </c>
      <c r="B424" t="s">
        <v>37</v>
      </c>
      <c r="C424" t="s">
        <v>40</v>
      </c>
      <c r="D424" s="3">
        <v>110000</v>
      </c>
      <c r="E424">
        <v>0</v>
      </c>
      <c r="F424" t="s">
        <v>19</v>
      </c>
      <c r="G424" t="s">
        <v>28</v>
      </c>
      <c r="H424" t="s">
        <v>18</v>
      </c>
      <c r="I424">
        <v>3</v>
      </c>
      <c r="J424" t="s">
        <v>44</v>
      </c>
      <c r="K424" t="s">
        <v>24</v>
      </c>
      <c r="L424">
        <v>32</v>
      </c>
      <c r="M424" t="str">
        <f t="shared" si="6"/>
        <v>Middle Age31-54</v>
      </c>
      <c r="N424" t="s">
        <v>15</v>
      </c>
    </row>
    <row r="425" spans="1:14" x14ac:dyDescent="0.3">
      <c r="A425">
        <v>27169</v>
      </c>
      <c r="B425" t="s">
        <v>37</v>
      </c>
      <c r="C425" t="s">
        <v>40</v>
      </c>
      <c r="D425" s="3">
        <v>30000</v>
      </c>
      <c r="E425">
        <v>0</v>
      </c>
      <c r="F425" t="s">
        <v>27</v>
      </c>
      <c r="G425" t="s">
        <v>25</v>
      </c>
      <c r="H425" t="s">
        <v>15</v>
      </c>
      <c r="I425">
        <v>1</v>
      </c>
      <c r="J425" t="s">
        <v>22</v>
      </c>
      <c r="K425" t="s">
        <v>17</v>
      </c>
      <c r="L425">
        <v>34</v>
      </c>
      <c r="M425" t="str">
        <f t="shared" si="6"/>
        <v>Middle Age31-54</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Age31-54</v>
      </c>
      <c r="N426" t="s">
        <v>18</v>
      </c>
    </row>
    <row r="427" spans="1:14" x14ac:dyDescent="0.3">
      <c r="A427">
        <v>15822</v>
      </c>
      <c r="B427" t="s">
        <v>36</v>
      </c>
      <c r="C427" t="s">
        <v>40</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40</v>
      </c>
      <c r="D428" s="3">
        <v>30000</v>
      </c>
      <c r="E428">
        <v>0</v>
      </c>
      <c r="F428" t="s">
        <v>19</v>
      </c>
      <c r="G428" t="s">
        <v>20</v>
      </c>
      <c r="H428" t="s">
        <v>18</v>
      </c>
      <c r="I428">
        <v>1</v>
      </c>
      <c r="J428" t="s">
        <v>22</v>
      </c>
      <c r="K428" t="s">
        <v>17</v>
      </c>
      <c r="L428">
        <v>28</v>
      </c>
      <c r="M428" t="str">
        <f t="shared" si="6"/>
        <v>Adolescent0-30</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Age31-54</v>
      </c>
      <c r="N429" t="s">
        <v>15</v>
      </c>
    </row>
    <row r="430" spans="1:14" x14ac:dyDescent="0.3">
      <c r="A430">
        <v>22204</v>
      </c>
      <c r="B430" t="s">
        <v>36</v>
      </c>
      <c r="C430" t="s">
        <v>40</v>
      </c>
      <c r="D430" s="3">
        <v>110000</v>
      </c>
      <c r="E430">
        <v>4</v>
      </c>
      <c r="F430" t="s">
        <v>13</v>
      </c>
      <c r="G430" t="s">
        <v>28</v>
      </c>
      <c r="H430" t="s">
        <v>15</v>
      </c>
      <c r="I430">
        <v>3</v>
      </c>
      <c r="J430" t="s">
        <v>22</v>
      </c>
      <c r="K430" t="s">
        <v>24</v>
      </c>
      <c r="L430">
        <v>48</v>
      </c>
      <c r="M430" t="str">
        <f t="shared" si="6"/>
        <v>Middle Age31-54</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Age31-54</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Age31-54</v>
      </c>
      <c r="N432" t="s">
        <v>18</v>
      </c>
    </row>
    <row r="433" spans="1:14" x14ac:dyDescent="0.3">
      <c r="A433">
        <v>28488</v>
      </c>
      <c r="B433" t="s">
        <v>37</v>
      </c>
      <c r="C433" t="s">
        <v>40</v>
      </c>
      <c r="D433" s="3">
        <v>20000</v>
      </c>
      <c r="E433">
        <v>0</v>
      </c>
      <c r="F433" t="s">
        <v>19</v>
      </c>
      <c r="G433" t="s">
        <v>25</v>
      </c>
      <c r="H433" t="s">
        <v>15</v>
      </c>
      <c r="I433">
        <v>0</v>
      </c>
      <c r="J433" t="s">
        <v>16</v>
      </c>
      <c r="K433" t="s">
        <v>24</v>
      </c>
      <c r="L433">
        <v>28</v>
      </c>
      <c r="M433" t="str">
        <f t="shared" si="6"/>
        <v>Adolescent0-30</v>
      </c>
      <c r="N433" t="s">
        <v>15</v>
      </c>
    </row>
    <row r="434" spans="1:14" x14ac:dyDescent="0.3">
      <c r="A434">
        <v>21891</v>
      </c>
      <c r="B434" t="s">
        <v>36</v>
      </c>
      <c r="C434" t="s">
        <v>39</v>
      </c>
      <c r="D434" s="3">
        <v>110000</v>
      </c>
      <c r="E434">
        <v>0</v>
      </c>
      <c r="F434" t="s">
        <v>27</v>
      </c>
      <c r="G434" t="s">
        <v>28</v>
      </c>
      <c r="H434" t="s">
        <v>15</v>
      </c>
      <c r="I434">
        <v>3</v>
      </c>
      <c r="J434" t="s">
        <v>44</v>
      </c>
      <c r="K434" t="s">
        <v>24</v>
      </c>
      <c r="L434">
        <v>34</v>
      </c>
      <c r="M434" t="str">
        <f t="shared" si="6"/>
        <v>Middle Age31-54</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Adolescent0-30</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Age31-54</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Age31-54</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Adolescent0-30</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Age31-54</v>
      </c>
      <c r="N440" t="s">
        <v>15</v>
      </c>
    </row>
    <row r="441" spans="1:14" x14ac:dyDescent="0.3">
      <c r="A441">
        <v>19618</v>
      </c>
      <c r="B441" t="s">
        <v>36</v>
      </c>
      <c r="C441" t="s">
        <v>40</v>
      </c>
      <c r="D441" s="3">
        <v>70000</v>
      </c>
      <c r="E441">
        <v>5</v>
      </c>
      <c r="F441" t="s">
        <v>19</v>
      </c>
      <c r="G441" t="s">
        <v>14</v>
      </c>
      <c r="H441" t="s">
        <v>15</v>
      </c>
      <c r="I441">
        <v>2</v>
      </c>
      <c r="J441" t="s">
        <v>16</v>
      </c>
      <c r="K441" t="s">
        <v>24</v>
      </c>
      <c r="L441">
        <v>44</v>
      </c>
      <c r="M441" t="str">
        <f t="shared" si="6"/>
        <v>Middle Age31-54</v>
      </c>
      <c r="N441" t="s">
        <v>18</v>
      </c>
    </row>
    <row r="442" spans="1:14" x14ac:dyDescent="0.3">
      <c r="A442">
        <v>21561</v>
      </c>
      <c r="B442" t="s">
        <v>37</v>
      </c>
      <c r="C442" t="s">
        <v>40</v>
      </c>
      <c r="D442" s="3">
        <v>90000</v>
      </c>
      <c r="E442">
        <v>0</v>
      </c>
      <c r="F442" t="s">
        <v>13</v>
      </c>
      <c r="G442" t="s">
        <v>21</v>
      </c>
      <c r="H442" t="s">
        <v>18</v>
      </c>
      <c r="I442">
        <v>3</v>
      </c>
      <c r="J442" t="s">
        <v>44</v>
      </c>
      <c r="K442" t="s">
        <v>24</v>
      </c>
      <c r="L442">
        <v>34</v>
      </c>
      <c r="M442" t="str">
        <f t="shared" si="6"/>
        <v>Middle Age31-54</v>
      </c>
      <c r="N442" t="s">
        <v>15</v>
      </c>
    </row>
    <row r="443" spans="1:14" x14ac:dyDescent="0.3">
      <c r="A443">
        <v>11061</v>
      </c>
      <c r="B443" t="s">
        <v>36</v>
      </c>
      <c r="C443" t="s">
        <v>40</v>
      </c>
      <c r="D443" s="3">
        <v>70000</v>
      </c>
      <c r="E443">
        <v>2</v>
      </c>
      <c r="F443" t="s">
        <v>19</v>
      </c>
      <c r="G443" t="s">
        <v>14</v>
      </c>
      <c r="H443" t="s">
        <v>15</v>
      </c>
      <c r="I443">
        <v>2</v>
      </c>
      <c r="J443" t="s">
        <v>23</v>
      </c>
      <c r="K443" t="s">
        <v>24</v>
      </c>
      <c r="L443">
        <v>52</v>
      </c>
      <c r="M443" t="str">
        <f t="shared" si="6"/>
        <v>Middle Age31-54</v>
      </c>
      <c r="N443" t="s">
        <v>15</v>
      </c>
    </row>
    <row r="444" spans="1:14" x14ac:dyDescent="0.3">
      <c r="A444">
        <v>26651</v>
      </c>
      <c r="B444" t="s">
        <v>37</v>
      </c>
      <c r="C444" t="s">
        <v>40</v>
      </c>
      <c r="D444" s="3">
        <v>80000</v>
      </c>
      <c r="E444">
        <v>4</v>
      </c>
      <c r="F444" t="s">
        <v>31</v>
      </c>
      <c r="G444" t="s">
        <v>28</v>
      </c>
      <c r="H444" t="s">
        <v>15</v>
      </c>
      <c r="I444">
        <v>0</v>
      </c>
      <c r="J444" t="s">
        <v>16</v>
      </c>
      <c r="K444" t="s">
        <v>24</v>
      </c>
      <c r="L444">
        <v>36</v>
      </c>
      <c r="M444" t="str">
        <f t="shared" si="6"/>
        <v>Middle Age31-54</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Age31-54</v>
      </c>
      <c r="N445" t="s">
        <v>15</v>
      </c>
    </row>
    <row r="446" spans="1:14" x14ac:dyDescent="0.3">
      <c r="A446">
        <v>12731</v>
      </c>
      <c r="B446" t="s">
        <v>37</v>
      </c>
      <c r="C446" t="s">
        <v>40</v>
      </c>
      <c r="D446" s="3">
        <v>30000</v>
      </c>
      <c r="E446">
        <v>0</v>
      </c>
      <c r="F446" t="s">
        <v>27</v>
      </c>
      <c r="G446" t="s">
        <v>25</v>
      </c>
      <c r="H446" t="s">
        <v>18</v>
      </c>
      <c r="I446">
        <v>1</v>
      </c>
      <c r="J446" t="s">
        <v>26</v>
      </c>
      <c r="K446" t="s">
        <v>17</v>
      </c>
      <c r="L446">
        <v>32</v>
      </c>
      <c r="M446" t="str">
        <f t="shared" si="6"/>
        <v>Middle Age31-54</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Age31-54</v>
      </c>
      <c r="N447" t="s">
        <v>15</v>
      </c>
    </row>
    <row r="448" spans="1:14" x14ac:dyDescent="0.3">
      <c r="A448">
        <v>14278</v>
      </c>
      <c r="B448" t="s">
        <v>36</v>
      </c>
      <c r="C448" t="s">
        <v>39</v>
      </c>
      <c r="D448" s="3">
        <v>130000</v>
      </c>
      <c r="E448">
        <v>0</v>
      </c>
      <c r="F448" t="s">
        <v>31</v>
      </c>
      <c r="G448" t="s">
        <v>28</v>
      </c>
      <c r="H448" t="s">
        <v>15</v>
      </c>
      <c r="I448">
        <v>1</v>
      </c>
      <c r="J448" t="s">
        <v>44</v>
      </c>
      <c r="K448" t="s">
        <v>24</v>
      </c>
      <c r="L448">
        <v>48</v>
      </c>
      <c r="M448" t="str">
        <f t="shared" si="6"/>
        <v>Middle Age31-54</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Age31-54</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Age31-54</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 "Old 55+", IF(L451&gt;=31, "Middle Age31-54",IF(L451&lt;31,"Adolescent0-30","Invalid")))</f>
        <v>Middle Age31-54</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Age31-54</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Age31-54</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Age31-54</v>
      </c>
      <c r="N455" t="s">
        <v>18</v>
      </c>
    </row>
    <row r="456" spans="1:14" x14ac:dyDescent="0.3">
      <c r="A456">
        <v>12389</v>
      </c>
      <c r="B456" t="s">
        <v>37</v>
      </c>
      <c r="C456" t="s">
        <v>40</v>
      </c>
      <c r="D456" s="3">
        <v>30000</v>
      </c>
      <c r="E456">
        <v>0</v>
      </c>
      <c r="F456" t="s">
        <v>27</v>
      </c>
      <c r="G456" t="s">
        <v>25</v>
      </c>
      <c r="H456" t="s">
        <v>18</v>
      </c>
      <c r="I456">
        <v>1</v>
      </c>
      <c r="J456" t="s">
        <v>22</v>
      </c>
      <c r="K456" t="s">
        <v>17</v>
      </c>
      <c r="L456">
        <v>34</v>
      </c>
      <c r="M456" t="str">
        <f t="shared" si="7"/>
        <v>Middle Age31-54</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Age31-54</v>
      </c>
      <c r="N457" t="s">
        <v>15</v>
      </c>
    </row>
    <row r="458" spans="1:14" x14ac:dyDescent="0.3">
      <c r="A458">
        <v>26385</v>
      </c>
      <c r="B458" t="s">
        <v>37</v>
      </c>
      <c r="C458" t="s">
        <v>40</v>
      </c>
      <c r="D458" s="3">
        <v>120000</v>
      </c>
      <c r="E458">
        <v>3</v>
      </c>
      <c r="F458" t="s">
        <v>27</v>
      </c>
      <c r="G458" t="s">
        <v>21</v>
      </c>
      <c r="H458" t="s">
        <v>18</v>
      </c>
      <c r="I458">
        <v>4</v>
      </c>
      <c r="J458" t="s">
        <v>23</v>
      </c>
      <c r="K458" t="s">
        <v>17</v>
      </c>
      <c r="L458">
        <v>50</v>
      </c>
      <c r="M458" t="str">
        <f t="shared" si="7"/>
        <v>Middle Age31-54</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40</v>
      </c>
      <c r="D460" s="3">
        <v>120000</v>
      </c>
      <c r="E460">
        <v>0</v>
      </c>
      <c r="F460" t="s">
        <v>29</v>
      </c>
      <c r="G460" t="s">
        <v>21</v>
      </c>
      <c r="H460" t="s">
        <v>15</v>
      </c>
      <c r="I460">
        <v>4</v>
      </c>
      <c r="J460" t="s">
        <v>44</v>
      </c>
      <c r="K460" t="s">
        <v>24</v>
      </c>
      <c r="L460">
        <v>32</v>
      </c>
      <c r="M460" t="str">
        <f t="shared" si="7"/>
        <v>Middle Age31-54</v>
      </c>
      <c r="N460" t="s">
        <v>15</v>
      </c>
    </row>
    <row r="461" spans="1:14" x14ac:dyDescent="0.3">
      <c r="A461">
        <v>21554</v>
      </c>
      <c r="B461" t="s">
        <v>37</v>
      </c>
      <c r="C461" t="s">
        <v>39</v>
      </c>
      <c r="D461" s="3">
        <v>80000</v>
      </c>
      <c r="E461">
        <v>0</v>
      </c>
      <c r="F461" t="s">
        <v>13</v>
      </c>
      <c r="G461" t="s">
        <v>21</v>
      </c>
      <c r="H461" t="s">
        <v>18</v>
      </c>
      <c r="I461">
        <v>3</v>
      </c>
      <c r="J461" t="s">
        <v>44</v>
      </c>
      <c r="K461" t="s">
        <v>24</v>
      </c>
      <c r="L461">
        <v>33</v>
      </c>
      <c r="M461" t="str">
        <f t="shared" si="7"/>
        <v>Middle Age31-54</v>
      </c>
      <c r="N461" t="s">
        <v>18</v>
      </c>
    </row>
    <row r="462" spans="1:14" x14ac:dyDescent="0.3">
      <c r="A462">
        <v>13662</v>
      </c>
      <c r="B462" t="s">
        <v>37</v>
      </c>
      <c r="C462" t="s">
        <v>40</v>
      </c>
      <c r="D462" s="3">
        <v>20000</v>
      </c>
      <c r="E462">
        <v>0</v>
      </c>
      <c r="F462" t="s">
        <v>29</v>
      </c>
      <c r="G462" t="s">
        <v>25</v>
      </c>
      <c r="H462" t="s">
        <v>15</v>
      </c>
      <c r="I462">
        <v>2</v>
      </c>
      <c r="J462" t="s">
        <v>26</v>
      </c>
      <c r="K462" t="s">
        <v>17</v>
      </c>
      <c r="L462">
        <v>31</v>
      </c>
      <c r="M462" t="str">
        <f t="shared" si="7"/>
        <v>Middle Age31-54</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Age31-54</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Age31-54</v>
      </c>
      <c r="N464" t="s">
        <v>15</v>
      </c>
    </row>
    <row r="465" spans="1:14" x14ac:dyDescent="0.3">
      <c r="A465">
        <v>19331</v>
      </c>
      <c r="B465" t="s">
        <v>37</v>
      </c>
      <c r="C465" t="s">
        <v>40</v>
      </c>
      <c r="D465" s="3">
        <v>20000</v>
      </c>
      <c r="E465">
        <v>2</v>
      </c>
      <c r="F465" t="s">
        <v>27</v>
      </c>
      <c r="G465" t="s">
        <v>25</v>
      </c>
      <c r="H465" t="s">
        <v>15</v>
      </c>
      <c r="I465">
        <v>1</v>
      </c>
      <c r="J465" t="s">
        <v>16</v>
      </c>
      <c r="K465" t="s">
        <v>17</v>
      </c>
      <c r="L465">
        <v>40</v>
      </c>
      <c r="M465" t="str">
        <f t="shared" si="7"/>
        <v>Middle Age31-54</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Age31-54</v>
      </c>
      <c r="N466" t="s">
        <v>15</v>
      </c>
    </row>
    <row r="467" spans="1:14" x14ac:dyDescent="0.3">
      <c r="A467">
        <v>11149</v>
      </c>
      <c r="B467" t="s">
        <v>36</v>
      </c>
      <c r="C467" t="s">
        <v>40</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Age31-54</v>
      </c>
      <c r="N468" t="s">
        <v>15</v>
      </c>
    </row>
    <row r="469" spans="1:14" x14ac:dyDescent="0.3">
      <c r="A469">
        <v>24305</v>
      </c>
      <c r="B469" t="s">
        <v>37</v>
      </c>
      <c r="C469" t="s">
        <v>40</v>
      </c>
      <c r="D469" s="3">
        <v>100000</v>
      </c>
      <c r="E469">
        <v>1</v>
      </c>
      <c r="F469" t="s">
        <v>13</v>
      </c>
      <c r="G469" t="s">
        <v>28</v>
      </c>
      <c r="H469" t="s">
        <v>18</v>
      </c>
      <c r="I469">
        <v>3</v>
      </c>
      <c r="J469" t="s">
        <v>16</v>
      </c>
      <c r="K469" t="s">
        <v>24</v>
      </c>
      <c r="L469">
        <v>46</v>
      </c>
      <c r="M469" t="str">
        <f t="shared" si="7"/>
        <v>Middle Age31-54</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Age31-54</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40</v>
      </c>
      <c r="D472" s="3">
        <v>30000</v>
      </c>
      <c r="E472">
        <v>0</v>
      </c>
      <c r="F472" t="s">
        <v>27</v>
      </c>
      <c r="G472" t="s">
        <v>25</v>
      </c>
      <c r="H472" t="s">
        <v>18</v>
      </c>
      <c r="I472">
        <v>1</v>
      </c>
      <c r="J472" t="s">
        <v>26</v>
      </c>
      <c r="K472" t="s">
        <v>17</v>
      </c>
      <c r="L472">
        <v>28</v>
      </c>
      <c r="M472" t="str">
        <f t="shared" si="7"/>
        <v>Adolescent0-30</v>
      </c>
      <c r="N472" t="s">
        <v>18</v>
      </c>
    </row>
    <row r="473" spans="1:14" x14ac:dyDescent="0.3">
      <c r="A473">
        <v>28323</v>
      </c>
      <c r="B473" t="s">
        <v>37</v>
      </c>
      <c r="C473" t="s">
        <v>40</v>
      </c>
      <c r="D473" s="3">
        <v>70000</v>
      </c>
      <c r="E473">
        <v>0</v>
      </c>
      <c r="F473" t="s">
        <v>13</v>
      </c>
      <c r="G473" t="s">
        <v>21</v>
      </c>
      <c r="H473" t="s">
        <v>18</v>
      </c>
      <c r="I473">
        <v>2</v>
      </c>
      <c r="J473" t="s">
        <v>23</v>
      </c>
      <c r="K473" t="s">
        <v>24</v>
      </c>
      <c r="L473">
        <v>43</v>
      </c>
      <c r="M473" t="str">
        <f t="shared" si="7"/>
        <v>Middle Age31-54</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Age31-54</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Age31-54</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Age31-54</v>
      </c>
      <c r="N476" t="s">
        <v>15</v>
      </c>
    </row>
    <row r="477" spans="1:14" x14ac:dyDescent="0.3">
      <c r="A477">
        <v>19748</v>
      </c>
      <c r="B477" t="s">
        <v>36</v>
      </c>
      <c r="C477" t="s">
        <v>40</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Age31-54</v>
      </c>
      <c r="N478" t="s">
        <v>15</v>
      </c>
    </row>
    <row r="479" spans="1:14" x14ac:dyDescent="0.3">
      <c r="A479">
        <v>14032</v>
      </c>
      <c r="B479" t="s">
        <v>36</v>
      </c>
      <c r="C479" t="s">
        <v>40</v>
      </c>
      <c r="D479" s="3">
        <v>70000</v>
      </c>
      <c r="E479">
        <v>2</v>
      </c>
      <c r="F479" t="s">
        <v>27</v>
      </c>
      <c r="G479" t="s">
        <v>14</v>
      </c>
      <c r="H479" t="s">
        <v>18</v>
      </c>
      <c r="I479">
        <v>2</v>
      </c>
      <c r="J479" t="s">
        <v>26</v>
      </c>
      <c r="K479" t="s">
        <v>24</v>
      </c>
      <c r="L479">
        <v>50</v>
      </c>
      <c r="M479" t="str">
        <f t="shared" si="7"/>
        <v>Middle Age31-54</v>
      </c>
      <c r="N479" t="s">
        <v>15</v>
      </c>
    </row>
    <row r="480" spans="1:14" x14ac:dyDescent="0.3">
      <c r="A480">
        <v>22610</v>
      </c>
      <c r="B480" t="s">
        <v>36</v>
      </c>
      <c r="C480" t="s">
        <v>40</v>
      </c>
      <c r="D480" s="3">
        <v>30000</v>
      </c>
      <c r="E480">
        <v>0</v>
      </c>
      <c r="F480" t="s">
        <v>13</v>
      </c>
      <c r="G480" t="s">
        <v>20</v>
      </c>
      <c r="H480" t="s">
        <v>15</v>
      </c>
      <c r="I480">
        <v>0</v>
      </c>
      <c r="J480" t="s">
        <v>16</v>
      </c>
      <c r="K480" t="s">
        <v>17</v>
      </c>
      <c r="L480">
        <v>35</v>
      </c>
      <c r="M480" t="str">
        <f t="shared" si="7"/>
        <v>Middle Age31-54</v>
      </c>
      <c r="N480" t="s">
        <v>15</v>
      </c>
    </row>
    <row r="481" spans="1:14" x14ac:dyDescent="0.3">
      <c r="A481">
        <v>26984</v>
      </c>
      <c r="B481" t="s">
        <v>36</v>
      </c>
      <c r="C481" t="s">
        <v>40</v>
      </c>
      <c r="D481" s="3">
        <v>40000</v>
      </c>
      <c r="E481">
        <v>1</v>
      </c>
      <c r="F481" t="s">
        <v>13</v>
      </c>
      <c r="G481" t="s">
        <v>14</v>
      </c>
      <c r="H481" t="s">
        <v>15</v>
      </c>
      <c r="I481">
        <v>1</v>
      </c>
      <c r="J481" t="s">
        <v>16</v>
      </c>
      <c r="K481" t="s">
        <v>17</v>
      </c>
      <c r="L481">
        <v>32</v>
      </c>
      <c r="M481" t="str">
        <f t="shared" si="7"/>
        <v>Middle Age31-54</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Age31-54</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Age31-54</v>
      </c>
      <c r="N483" t="s">
        <v>15</v>
      </c>
    </row>
    <row r="484" spans="1:14" x14ac:dyDescent="0.3">
      <c r="A484">
        <v>28521</v>
      </c>
      <c r="B484" t="s">
        <v>37</v>
      </c>
      <c r="C484" t="s">
        <v>40</v>
      </c>
      <c r="D484" s="3">
        <v>40000</v>
      </c>
      <c r="E484">
        <v>0</v>
      </c>
      <c r="F484" t="s">
        <v>31</v>
      </c>
      <c r="G484" t="s">
        <v>20</v>
      </c>
      <c r="H484" t="s">
        <v>18</v>
      </c>
      <c r="I484">
        <v>0</v>
      </c>
      <c r="J484" t="s">
        <v>16</v>
      </c>
      <c r="K484" t="s">
        <v>17</v>
      </c>
      <c r="L484">
        <v>36</v>
      </c>
      <c r="M484" t="str">
        <f t="shared" si="7"/>
        <v>Middle Age31-54</v>
      </c>
      <c r="N484" t="s">
        <v>15</v>
      </c>
    </row>
    <row r="485" spans="1:14" x14ac:dyDescent="0.3">
      <c r="A485">
        <v>15450</v>
      </c>
      <c r="B485" t="s">
        <v>36</v>
      </c>
      <c r="C485" t="s">
        <v>40</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Age31-54</v>
      </c>
      <c r="N486" t="s">
        <v>15</v>
      </c>
    </row>
    <row r="487" spans="1:14" x14ac:dyDescent="0.3">
      <c r="A487">
        <v>19491</v>
      </c>
      <c r="B487" t="s">
        <v>37</v>
      </c>
      <c r="C487" t="s">
        <v>40</v>
      </c>
      <c r="D487" s="3">
        <v>30000</v>
      </c>
      <c r="E487">
        <v>2</v>
      </c>
      <c r="F487" t="s">
        <v>19</v>
      </c>
      <c r="G487" t="s">
        <v>20</v>
      </c>
      <c r="H487" t="s">
        <v>15</v>
      </c>
      <c r="I487">
        <v>2</v>
      </c>
      <c r="J487" t="s">
        <v>16</v>
      </c>
      <c r="K487" t="s">
        <v>17</v>
      </c>
      <c r="L487">
        <v>42</v>
      </c>
      <c r="M487" t="str">
        <f t="shared" si="7"/>
        <v>Middle Age31-54</v>
      </c>
      <c r="N487" t="s">
        <v>18</v>
      </c>
    </row>
    <row r="488" spans="1:14" x14ac:dyDescent="0.3">
      <c r="A488">
        <v>26415</v>
      </c>
      <c r="B488" t="s">
        <v>36</v>
      </c>
      <c r="C488" t="s">
        <v>39</v>
      </c>
      <c r="D488" s="3">
        <v>90000</v>
      </c>
      <c r="E488">
        <v>4</v>
      </c>
      <c r="F488" t="s">
        <v>29</v>
      </c>
      <c r="G488" t="s">
        <v>14</v>
      </c>
      <c r="H488" t="s">
        <v>15</v>
      </c>
      <c r="I488">
        <v>4</v>
      </c>
      <c r="J488" t="s">
        <v>44</v>
      </c>
      <c r="K488" t="s">
        <v>17</v>
      </c>
      <c r="L488">
        <v>58</v>
      </c>
      <c r="M488" t="str">
        <f t="shared" si="7"/>
        <v>Old 55+</v>
      </c>
      <c r="N488" t="s">
        <v>18</v>
      </c>
    </row>
    <row r="489" spans="1:14" x14ac:dyDescent="0.3">
      <c r="A489">
        <v>12821</v>
      </c>
      <c r="B489" t="s">
        <v>36</v>
      </c>
      <c r="C489" t="s">
        <v>40</v>
      </c>
      <c r="D489" s="3">
        <v>40000</v>
      </c>
      <c r="E489">
        <v>0</v>
      </c>
      <c r="F489" t="s">
        <v>13</v>
      </c>
      <c r="G489" t="s">
        <v>20</v>
      </c>
      <c r="H489" t="s">
        <v>15</v>
      </c>
      <c r="I489">
        <v>0</v>
      </c>
      <c r="J489" t="s">
        <v>16</v>
      </c>
      <c r="K489" t="s">
        <v>17</v>
      </c>
      <c r="L489">
        <v>39</v>
      </c>
      <c r="M489" t="str">
        <f t="shared" si="7"/>
        <v>Middle Age31-54</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Age31-54</v>
      </c>
      <c r="N490" t="s">
        <v>18</v>
      </c>
    </row>
    <row r="491" spans="1:14" x14ac:dyDescent="0.3">
      <c r="A491">
        <v>27835</v>
      </c>
      <c r="B491" t="s">
        <v>36</v>
      </c>
      <c r="C491" t="s">
        <v>40</v>
      </c>
      <c r="D491" s="3">
        <v>20000</v>
      </c>
      <c r="E491">
        <v>0</v>
      </c>
      <c r="F491" t="s">
        <v>29</v>
      </c>
      <c r="G491" t="s">
        <v>25</v>
      </c>
      <c r="H491" t="s">
        <v>15</v>
      </c>
      <c r="I491">
        <v>2</v>
      </c>
      <c r="J491" t="s">
        <v>16</v>
      </c>
      <c r="K491" t="s">
        <v>17</v>
      </c>
      <c r="L491">
        <v>32</v>
      </c>
      <c r="M491" t="str">
        <f t="shared" si="7"/>
        <v>Middle Age31-54</v>
      </c>
      <c r="N491" t="s">
        <v>18</v>
      </c>
    </row>
    <row r="492" spans="1:14" x14ac:dyDescent="0.3">
      <c r="A492">
        <v>11738</v>
      </c>
      <c r="B492" t="s">
        <v>36</v>
      </c>
      <c r="C492" t="s">
        <v>40</v>
      </c>
      <c r="D492" s="3">
        <v>60000</v>
      </c>
      <c r="E492">
        <v>4</v>
      </c>
      <c r="F492" t="s">
        <v>13</v>
      </c>
      <c r="G492" t="s">
        <v>21</v>
      </c>
      <c r="H492" t="s">
        <v>15</v>
      </c>
      <c r="I492">
        <v>0</v>
      </c>
      <c r="J492" t="s">
        <v>22</v>
      </c>
      <c r="K492" t="s">
        <v>32</v>
      </c>
      <c r="L492">
        <v>46</v>
      </c>
      <c r="M492" t="str">
        <f t="shared" si="7"/>
        <v>Middle Age31-54</v>
      </c>
      <c r="N492" t="s">
        <v>18</v>
      </c>
    </row>
    <row r="493" spans="1:14" x14ac:dyDescent="0.3">
      <c r="A493">
        <v>25065</v>
      </c>
      <c r="B493" t="s">
        <v>36</v>
      </c>
      <c r="C493" t="s">
        <v>40</v>
      </c>
      <c r="D493" s="3">
        <v>70000</v>
      </c>
      <c r="E493">
        <v>2</v>
      </c>
      <c r="F493" t="s">
        <v>29</v>
      </c>
      <c r="G493" t="s">
        <v>14</v>
      </c>
      <c r="H493" t="s">
        <v>15</v>
      </c>
      <c r="I493">
        <v>2</v>
      </c>
      <c r="J493" t="s">
        <v>23</v>
      </c>
      <c r="K493" t="s">
        <v>32</v>
      </c>
      <c r="L493">
        <v>48</v>
      </c>
      <c r="M493" t="str">
        <f t="shared" si="7"/>
        <v>Middle Age31-54</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Age31-54</v>
      </c>
      <c r="N494" t="s">
        <v>15</v>
      </c>
    </row>
    <row r="495" spans="1:14" x14ac:dyDescent="0.3">
      <c r="A495">
        <v>23707</v>
      </c>
      <c r="B495" t="s">
        <v>37</v>
      </c>
      <c r="C495" t="s">
        <v>40</v>
      </c>
      <c r="D495" s="3">
        <v>70000</v>
      </c>
      <c r="E495">
        <v>5</v>
      </c>
      <c r="F495" t="s">
        <v>13</v>
      </c>
      <c r="G495" t="s">
        <v>28</v>
      </c>
      <c r="H495" t="s">
        <v>15</v>
      </c>
      <c r="I495">
        <v>3</v>
      </c>
      <c r="J495" t="s">
        <v>44</v>
      </c>
      <c r="K495" t="s">
        <v>32</v>
      </c>
      <c r="L495">
        <v>60</v>
      </c>
      <c r="M495" t="str">
        <f t="shared" si="7"/>
        <v>Old 55+</v>
      </c>
      <c r="N495" t="s">
        <v>15</v>
      </c>
    </row>
    <row r="496" spans="1:14" x14ac:dyDescent="0.3">
      <c r="A496">
        <v>27650</v>
      </c>
      <c r="B496" t="s">
        <v>36</v>
      </c>
      <c r="C496" t="s">
        <v>40</v>
      </c>
      <c r="D496" s="3">
        <v>70000</v>
      </c>
      <c r="E496">
        <v>4</v>
      </c>
      <c r="F496" t="s">
        <v>27</v>
      </c>
      <c r="G496" t="s">
        <v>21</v>
      </c>
      <c r="H496" t="s">
        <v>15</v>
      </c>
      <c r="I496">
        <v>0</v>
      </c>
      <c r="J496" t="s">
        <v>23</v>
      </c>
      <c r="K496" t="s">
        <v>32</v>
      </c>
      <c r="L496">
        <v>51</v>
      </c>
      <c r="M496" t="str">
        <f t="shared" si="7"/>
        <v>Middle Age31-54</v>
      </c>
      <c r="N496" t="s">
        <v>18</v>
      </c>
    </row>
    <row r="497" spans="1:14" x14ac:dyDescent="0.3">
      <c r="A497">
        <v>24981</v>
      </c>
      <c r="B497" t="s">
        <v>36</v>
      </c>
      <c r="C497" t="s">
        <v>40</v>
      </c>
      <c r="D497" s="3">
        <v>60000</v>
      </c>
      <c r="E497">
        <v>2</v>
      </c>
      <c r="F497" t="s">
        <v>19</v>
      </c>
      <c r="G497" t="s">
        <v>21</v>
      </c>
      <c r="H497" t="s">
        <v>15</v>
      </c>
      <c r="I497">
        <v>2</v>
      </c>
      <c r="J497" t="s">
        <v>44</v>
      </c>
      <c r="K497" t="s">
        <v>32</v>
      </c>
      <c r="L497">
        <v>56</v>
      </c>
      <c r="M497" t="str">
        <f t="shared" si="7"/>
        <v>Old 55+</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Age31-54</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Age31-54</v>
      </c>
      <c r="N499" t="s">
        <v>15</v>
      </c>
    </row>
    <row r="500" spans="1:14" x14ac:dyDescent="0.3">
      <c r="A500">
        <v>26012</v>
      </c>
      <c r="B500" t="s">
        <v>36</v>
      </c>
      <c r="C500" t="s">
        <v>40</v>
      </c>
      <c r="D500" s="3">
        <v>80000</v>
      </c>
      <c r="E500">
        <v>1</v>
      </c>
      <c r="F500" t="s">
        <v>19</v>
      </c>
      <c r="G500" t="s">
        <v>14</v>
      </c>
      <c r="H500" t="s">
        <v>15</v>
      </c>
      <c r="I500">
        <v>1</v>
      </c>
      <c r="J500" t="s">
        <v>22</v>
      </c>
      <c r="K500" t="s">
        <v>32</v>
      </c>
      <c r="L500">
        <v>48</v>
      </c>
      <c r="M500" t="str">
        <f t="shared" si="7"/>
        <v>Middle Age31-54</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Age31-54</v>
      </c>
      <c r="N501" t="s">
        <v>15</v>
      </c>
    </row>
    <row r="502" spans="1:14" x14ac:dyDescent="0.3">
      <c r="A502">
        <v>15559</v>
      </c>
      <c r="B502" t="s">
        <v>36</v>
      </c>
      <c r="C502" t="s">
        <v>40</v>
      </c>
      <c r="D502" s="3">
        <v>60000</v>
      </c>
      <c r="E502">
        <v>5</v>
      </c>
      <c r="F502" t="s">
        <v>13</v>
      </c>
      <c r="G502" t="s">
        <v>21</v>
      </c>
      <c r="H502" t="s">
        <v>15</v>
      </c>
      <c r="I502">
        <v>1</v>
      </c>
      <c r="J502" t="s">
        <v>22</v>
      </c>
      <c r="K502" t="s">
        <v>32</v>
      </c>
      <c r="L502">
        <v>47</v>
      </c>
      <c r="M502" t="str">
        <f t="shared" si="7"/>
        <v>Middle Age31-54</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Age31-54</v>
      </c>
      <c r="N503" t="s">
        <v>18</v>
      </c>
    </row>
    <row r="504" spans="1:14" x14ac:dyDescent="0.3">
      <c r="A504">
        <v>15275</v>
      </c>
      <c r="B504" t="s">
        <v>36</v>
      </c>
      <c r="C504" t="s">
        <v>40</v>
      </c>
      <c r="D504" s="3">
        <v>40000</v>
      </c>
      <c r="E504">
        <v>0</v>
      </c>
      <c r="F504" t="s">
        <v>19</v>
      </c>
      <c r="G504" t="s">
        <v>14</v>
      </c>
      <c r="H504" t="s">
        <v>15</v>
      </c>
      <c r="I504">
        <v>1</v>
      </c>
      <c r="J504" t="s">
        <v>23</v>
      </c>
      <c r="K504" t="s">
        <v>32</v>
      </c>
      <c r="L504">
        <v>29</v>
      </c>
      <c r="M504" t="str">
        <f t="shared" si="7"/>
        <v>Adolescent0-30</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Age31-54</v>
      </c>
      <c r="N505" t="s">
        <v>15</v>
      </c>
    </row>
    <row r="506" spans="1:14" x14ac:dyDescent="0.3">
      <c r="A506">
        <v>25405</v>
      </c>
      <c r="B506" t="s">
        <v>36</v>
      </c>
      <c r="C506" t="s">
        <v>40</v>
      </c>
      <c r="D506" s="3">
        <v>70000</v>
      </c>
      <c r="E506">
        <v>2</v>
      </c>
      <c r="F506" t="s">
        <v>13</v>
      </c>
      <c r="G506" t="s">
        <v>14</v>
      </c>
      <c r="H506" t="s">
        <v>15</v>
      </c>
      <c r="I506">
        <v>1</v>
      </c>
      <c r="J506" t="s">
        <v>22</v>
      </c>
      <c r="K506" t="s">
        <v>32</v>
      </c>
      <c r="L506">
        <v>38</v>
      </c>
      <c r="M506" t="str">
        <f t="shared" si="7"/>
        <v>Middle Age31-54</v>
      </c>
      <c r="N506" t="s">
        <v>15</v>
      </c>
    </row>
    <row r="507" spans="1:14" x14ac:dyDescent="0.3">
      <c r="A507">
        <v>15940</v>
      </c>
      <c r="B507" t="s">
        <v>36</v>
      </c>
      <c r="C507" t="s">
        <v>40</v>
      </c>
      <c r="D507" s="3">
        <v>100000</v>
      </c>
      <c r="E507">
        <v>4</v>
      </c>
      <c r="F507" t="s">
        <v>19</v>
      </c>
      <c r="G507" t="s">
        <v>21</v>
      </c>
      <c r="H507" t="s">
        <v>15</v>
      </c>
      <c r="I507">
        <v>4</v>
      </c>
      <c r="J507" t="s">
        <v>16</v>
      </c>
      <c r="K507" t="s">
        <v>32</v>
      </c>
      <c r="L507">
        <v>40</v>
      </c>
      <c r="M507" t="str">
        <f t="shared" si="7"/>
        <v>Middle Age31-54</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Age31-54</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Age31-54</v>
      </c>
      <c r="N509" t="s">
        <v>15</v>
      </c>
    </row>
    <row r="510" spans="1:14" x14ac:dyDescent="0.3">
      <c r="A510">
        <v>16337</v>
      </c>
      <c r="B510" t="s">
        <v>36</v>
      </c>
      <c r="C510" t="s">
        <v>40</v>
      </c>
      <c r="D510" s="3">
        <v>60000</v>
      </c>
      <c r="E510">
        <v>0</v>
      </c>
      <c r="F510" t="s">
        <v>19</v>
      </c>
      <c r="G510" t="s">
        <v>14</v>
      </c>
      <c r="H510" t="s">
        <v>18</v>
      </c>
      <c r="I510">
        <v>2</v>
      </c>
      <c r="J510" t="s">
        <v>26</v>
      </c>
      <c r="K510" t="s">
        <v>32</v>
      </c>
      <c r="L510">
        <v>29</v>
      </c>
      <c r="M510" t="str">
        <f t="shared" si="7"/>
        <v>Adolescent0-30</v>
      </c>
      <c r="N510" t="s">
        <v>18</v>
      </c>
    </row>
    <row r="511" spans="1:14" x14ac:dyDescent="0.3">
      <c r="A511">
        <v>24357</v>
      </c>
      <c r="B511" t="s">
        <v>36</v>
      </c>
      <c r="C511" t="s">
        <v>40</v>
      </c>
      <c r="D511" s="3">
        <v>80000</v>
      </c>
      <c r="E511">
        <v>3</v>
      </c>
      <c r="F511" t="s">
        <v>13</v>
      </c>
      <c r="G511" t="s">
        <v>21</v>
      </c>
      <c r="H511" t="s">
        <v>15</v>
      </c>
      <c r="I511">
        <v>1</v>
      </c>
      <c r="J511" t="s">
        <v>22</v>
      </c>
      <c r="K511" t="s">
        <v>32</v>
      </c>
      <c r="L511">
        <v>48</v>
      </c>
      <c r="M511" t="str">
        <f t="shared" si="7"/>
        <v>Middle Age31-54</v>
      </c>
      <c r="N511" t="s">
        <v>15</v>
      </c>
    </row>
    <row r="512" spans="1:14" x14ac:dyDescent="0.3">
      <c r="A512">
        <v>18613</v>
      </c>
      <c r="B512" t="s">
        <v>37</v>
      </c>
      <c r="C512" t="s">
        <v>40</v>
      </c>
      <c r="D512" s="3">
        <v>70000</v>
      </c>
      <c r="E512">
        <v>0</v>
      </c>
      <c r="F512" t="s">
        <v>13</v>
      </c>
      <c r="G512" t="s">
        <v>21</v>
      </c>
      <c r="H512" t="s">
        <v>18</v>
      </c>
      <c r="I512">
        <v>1</v>
      </c>
      <c r="J512" t="s">
        <v>22</v>
      </c>
      <c r="K512" t="s">
        <v>32</v>
      </c>
      <c r="L512">
        <v>37</v>
      </c>
      <c r="M512" t="str">
        <f t="shared" si="7"/>
        <v>Middle Age31-54</v>
      </c>
      <c r="N512" t="s">
        <v>15</v>
      </c>
    </row>
    <row r="513" spans="1:14" x14ac:dyDescent="0.3">
      <c r="A513">
        <v>12207</v>
      </c>
      <c r="B513" t="s">
        <v>37</v>
      </c>
      <c r="C513" t="s">
        <v>40</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Age31-54</v>
      </c>
      <c r="N514" t="s">
        <v>15</v>
      </c>
    </row>
    <row r="515" spans="1:14" x14ac:dyDescent="0.3">
      <c r="A515">
        <v>13353</v>
      </c>
      <c r="B515" t="s">
        <v>37</v>
      </c>
      <c r="C515" t="s">
        <v>39</v>
      </c>
      <c r="D515" s="3">
        <v>60000</v>
      </c>
      <c r="E515">
        <v>4</v>
      </c>
      <c r="F515" t="s">
        <v>31</v>
      </c>
      <c r="G515" t="s">
        <v>28</v>
      </c>
      <c r="H515" t="s">
        <v>15</v>
      </c>
      <c r="I515">
        <v>2</v>
      </c>
      <c r="J515" t="s">
        <v>44</v>
      </c>
      <c r="K515" t="s">
        <v>32</v>
      </c>
      <c r="L515">
        <v>61</v>
      </c>
      <c r="M515" t="str">
        <f t="shared" ref="M515:M578" si="8">IF(L515&gt;55, "Old 55+", IF(L515&gt;=31, "Middle Age31-54",IF(L515&lt;31,"Adolescent0-30","Invalid")))</f>
        <v>Old 55+</v>
      </c>
      <c r="N515" t="s">
        <v>15</v>
      </c>
    </row>
    <row r="516" spans="1:14" x14ac:dyDescent="0.3">
      <c r="A516">
        <v>19399</v>
      </c>
      <c r="B516" t="s">
        <v>37</v>
      </c>
      <c r="C516" t="s">
        <v>40</v>
      </c>
      <c r="D516" s="3">
        <v>40000</v>
      </c>
      <c r="E516">
        <v>0</v>
      </c>
      <c r="F516" t="s">
        <v>13</v>
      </c>
      <c r="G516" t="s">
        <v>21</v>
      </c>
      <c r="H516" t="s">
        <v>18</v>
      </c>
      <c r="I516">
        <v>1</v>
      </c>
      <c r="J516" t="s">
        <v>22</v>
      </c>
      <c r="K516" t="s">
        <v>32</v>
      </c>
      <c r="L516">
        <v>45</v>
      </c>
      <c r="M516" t="str">
        <f t="shared" si="8"/>
        <v>Middle Age31-54</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Age31-54</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Age31-54</v>
      </c>
      <c r="N518" t="s">
        <v>18</v>
      </c>
    </row>
    <row r="519" spans="1:14" x14ac:dyDescent="0.3">
      <c r="A519">
        <v>17269</v>
      </c>
      <c r="B519" t="s">
        <v>37</v>
      </c>
      <c r="C519" t="s">
        <v>40</v>
      </c>
      <c r="D519" s="3">
        <v>60000</v>
      </c>
      <c r="E519">
        <v>3</v>
      </c>
      <c r="F519" t="s">
        <v>13</v>
      </c>
      <c r="G519" t="s">
        <v>21</v>
      </c>
      <c r="H519" t="s">
        <v>18</v>
      </c>
      <c r="I519">
        <v>0</v>
      </c>
      <c r="J519" t="s">
        <v>16</v>
      </c>
      <c r="K519" t="s">
        <v>32</v>
      </c>
      <c r="L519">
        <v>47</v>
      </c>
      <c r="M519" t="str">
        <f t="shared" si="8"/>
        <v>Middle Age31-54</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Age31-54</v>
      </c>
      <c r="N520" t="s">
        <v>15</v>
      </c>
    </row>
    <row r="521" spans="1:14" x14ac:dyDescent="0.3">
      <c r="A521">
        <v>15740</v>
      </c>
      <c r="B521" t="s">
        <v>36</v>
      </c>
      <c r="C521" t="s">
        <v>40</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40</v>
      </c>
      <c r="D522" s="3">
        <v>100000</v>
      </c>
      <c r="E522">
        <v>1</v>
      </c>
      <c r="F522" t="s">
        <v>19</v>
      </c>
      <c r="G522" t="s">
        <v>21</v>
      </c>
      <c r="H522" t="s">
        <v>18</v>
      </c>
      <c r="I522">
        <v>3</v>
      </c>
      <c r="J522" t="s">
        <v>26</v>
      </c>
      <c r="K522" t="s">
        <v>32</v>
      </c>
      <c r="L522">
        <v>44</v>
      </c>
      <c r="M522" t="str">
        <f t="shared" si="8"/>
        <v>Middle Age31-54</v>
      </c>
      <c r="N522" t="s">
        <v>18</v>
      </c>
    </row>
    <row r="523" spans="1:14" x14ac:dyDescent="0.3">
      <c r="A523">
        <v>18976</v>
      </c>
      <c r="B523" t="s">
        <v>37</v>
      </c>
      <c r="C523" t="s">
        <v>40</v>
      </c>
      <c r="D523" s="3">
        <v>40000</v>
      </c>
      <c r="E523">
        <v>4</v>
      </c>
      <c r="F523" t="s">
        <v>27</v>
      </c>
      <c r="G523" t="s">
        <v>21</v>
      </c>
      <c r="H523" t="s">
        <v>15</v>
      </c>
      <c r="I523">
        <v>2</v>
      </c>
      <c r="J523" t="s">
        <v>44</v>
      </c>
      <c r="K523" t="s">
        <v>32</v>
      </c>
      <c r="L523">
        <v>62</v>
      </c>
      <c r="M523" t="str">
        <f t="shared" si="8"/>
        <v>Old 55+</v>
      </c>
      <c r="N523" t="s">
        <v>15</v>
      </c>
    </row>
    <row r="524" spans="1:14" x14ac:dyDescent="0.3">
      <c r="A524">
        <v>19413</v>
      </c>
      <c r="B524" t="s">
        <v>37</v>
      </c>
      <c r="C524" t="s">
        <v>40</v>
      </c>
      <c r="D524" s="3">
        <v>60000</v>
      </c>
      <c r="E524">
        <v>3</v>
      </c>
      <c r="F524" t="s">
        <v>13</v>
      </c>
      <c r="G524" t="s">
        <v>21</v>
      </c>
      <c r="H524" t="s">
        <v>18</v>
      </c>
      <c r="I524">
        <v>1</v>
      </c>
      <c r="J524" t="s">
        <v>16</v>
      </c>
      <c r="K524" t="s">
        <v>32</v>
      </c>
      <c r="L524">
        <v>47</v>
      </c>
      <c r="M524" t="str">
        <f t="shared" si="8"/>
        <v>Middle Age31-54</v>
      </c>
      <c r="N524" t="s">
        <v>15</v>
      </c>
    </row>
    <row r="525" spans="1:14" x14ac:dyDescent="0.3">
      <c r="A525">
        <v>13283</v>
      </c>
      <c r="B525" t="s">
        <v>36</v>
      </c>
      <c r="C525" t="s">
        <v>40</v>
      </c>
      <c r="D525" s="3">
        <v>80000</v>
      </c>
      <c r="E525">
        <v>3</v>
      </c>
      <c r="F525" t="s">
        <v>19</v>
      </c>
      <c r="G525" t="s">
        <v>21</v>
      </c>
      <c r="H525" t="s">
        <v>18</v>
      </c>
      <c r="I525">
        <v>2</v>
      </c>
      <c r="J525" t="s">
        <v>16</v>
      </c>
      <c r="K525" t="s">
        <v>32</v>
      </c>
      <c r="L525">
        <v>49</v>
      </c>
      <c r="M525" t="str">
        <f t="shared" si="8"/>
        <v>Middle Age31-54</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40</v>
      </c>
      <c r="D527" s="3">
        <v>60000</v>
      </c>
      <c r="E527">
        <v>5</v>
      </c>
      <c r="F527" t="s">
        <v>13</v>
      </c>
      <c r="G527" t="s">
        <v>28</v>
      </c>
      <c r="H527" t="s">
        <v>15</v>
      </c>
      <c r="I527">
        <v>3</v>
      </c>
      <c r="J527" t="s">
        <v>44</v>
      </c>
      <c r="K527" t="s">
        <v>32</v>
      </c>
      <c r="L527">
        <v>59</v>
      </c>
      <c r="M527" t="str">
        <f t="shared" si="8"/>
        <v>Old 55+</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Age31-54</v>
      </c>
      <c r="N528" t="s">
        <v>18</v>
      </c>
    </row>
    <row r="529" spans="1:14" x14ac:dyDescent="0.3">
      <c r="A529">
        <v>11641</v>
      </c>
      <c r="B529" t="s">
        <v>36</v>
      </c>
      <c r="C529" t="s">
        <v>40</v>
      </c>
      <c r="D529" s="3">
        <v>50000</v>
      </c>
      <c r="E529">
        <v>1</v>
      </c>
      <c r="F529" t="s">
        <v>13</v>
      </c>
      <c r="G529" t="s">
        <v>14</v>
      </c>
      <c r="H529" t="s">
        <v>15</v>
      </c>
      <c r="I529">
        <v>0</v>
      </c>
      <c r="J529" t="s">
        <v>16</v>
      </c>
      <c r="K529" t="s">
        <v>32</v>
      </c>
      <c r="L529">
        <v>36</v>
      </c>
      <c r="M529" t="str">
        <f t="shared" si="8"/>
        <v>Middle Age31-54</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Adolescent0-30</v>
      </c>
      <c r="N530" t="s">
        <v>18</v>
      </c>
    </row>
    <row r="531" spans="1:14" x14ac:dyDescent="0.3">
      <c r="A531">
        <v>13233</v>
      </c>
      <c r="B531" t="s">
        <v>36</v>
      </c>
      <c r="C531" t="s">
        <v>40</v>
      </c>
      <c r="D531" s="3">
        <v>60000</v>
      </c>
      <c r="E531">
        <v>2</v>
      </c>
      <c r="F531" t="s">
        <v>19</v>
      </c>
      <c r="G531" t="s">
        <v>21</v>
      </c>
      <c r="H531" t="s">
        <v>15</v>
      </c>
      <c r="I531">
        <v>1</v>
      </c>
      <c r="J531" t="s">
        <v>44</v>
      </c>
      <c r="K531" t="s">
        <v>32</v>
      </c>
      <c r="L531">
        <v>57</v>
      </c>
      <c r="M531" t="str">
        <f t="shared" si="8"/>
        <v>Old 55+</v>
      </c>
      <c r="N531" t="s">
        <v>15</v>
      </c>
    </row>
    <row r="532" spans="1:14" x14ac:dyDescent="0.3">
      <c r="A532">
        <v>25909</v>
      </c>
      <c r="B532" t="s">
        <v>36</v>
      </c>
      <c r="C532" t="s">
        <v>40</v>
      </c>
      <c r="D532" s="3">
        <v>60000</v>
      </c>
      <c r="E532">
        <v>0</v>
      </c>
      <c r="F532" t="s">
        <v>19</v>
      </c>
      <c r="G532" t="s">
        <v>14</v>
      </c>
      <c r="H532" t="s">
        <v>15</v>
      </c>
      <c r="I532">
        <v>1</v>
      </c>
      <c r="J532" t="s">
        <v>23</v>
      </c>
      <c r="K532" t="s">
        <v>32</v>
      </c>
      <c r="L532">
        <v>27</v>
      </c>
      <c r="M532" t="str">
        <f t="shared" si="8"/>
        <v>Adolescent0-30</v>
      </c>
      <c r="N532" t="s">
        <v>15</v>
      </c>
    </row>
    <row r="533" spans="1:14" x14ac:dyDescent="0.3">
      <c r="A533">
        <v>14092</v>
      </c>
      <c r="B533" t="s">
        <v>37</v>
      </c>
      <c r="C533" t="s">
        <v>40</v>
      </c>
      <c r="D533" s="3">
        <v>30000</v>
      </c>
      <c r="E533">
        <v>0</v>
      </c>
      <c r="F533" t="s">
        <v>29</v>
      </c>
      <c r="G533" t="s">
        <v>20</v>
      </c>
      <c r="H533" t="s">
        <v>15</v>
      </c>
      <c r="I533">
        <v>2</v>
      </c>
      <c r="J533" t="s">
        <v>23</v>
      </c>
      <c r="K533" t="s">
        <v>32</v>
      </c>
      <c r="L533">
        <v>28</v>
      </c>
      <c r="M533" t="str">
        <f t="shared" si="8"/>
        <v>Adolescent0-30</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Age31-54</v>
      </c>
      <c r="N534" t="s">
        <v>15</v>
      </c>
    </row>
    <row r="535" spans="1:14" x14ac:dyDescent="0.3">
      <c r="A535">
        <v>24941</v>
      </c>
      <c r="B535" t="s">
        <v>36</v>
      </c>
      <c r="C535" t="s">
        <v>40</v>
      </c>
      <c r="D535" s="3">
        <v>60000</v>
      </c>
      <c r="E535">
        <v>3</v>
      </c>
      <c r="F535" t="s">
        <v>13</v>
      </c>
      <c r="G535" t="s">
        <v>28</v>
      </c>
      <c r="H535" t="s">
        <v>15</v>
      </c>
      <c r="I535">
        <v>2</v>
      </c>
      <c r="J535" t="s">
        <v>44</v>
      </c>
      <c r="K535" t="s">
        <v>32</v>
      </c>
      <c r="L535">
        <v>66</v>
      </c>
      <c r="M535" t="str">
        <f t="shared" si="8"/>
        <v>Old 55+</v>
      </c>
      <c r="N535" t="s">
        <v>18</v>
      </c>
    </row>
    <row r="536" spans="1:14" x14ac:dyDescent="0.3">
      <c r="A536">
        <v>24637</v>
      </c>
      <c r="B536" t="s">
        <v>36</v>
      </c>
      <c r="C536" t="s">
        <v>40</v>
      </c>
      <c r="D536" s="3">
        <v>40000</v>
      </c>
      <c r="E536">
        <v>4</v>
      </c>
      <c r="F536" t="s">
        <v>27</v>
      </c>
      <c r="G536" t="s">
        <v>21</v>
      </c>
      <c r="H536" t="s">
        <v>15</v>
      </c>
      <c r="I536">
        <v>2</v>
      </c>
      <c r="J536" t="s">
        <v>44</v>
      </c>
      <c r="K536" t="s">
        <v>32</v>
      </c>
      <c r="L536">
        <v>64</v>
      </c>
      <c r="M536" t="str">
        <f t="shared" si="8"/>
        <v>Old 55+</v>
      </c>
      <c r="N536" t="s">
        <v>18</v>
      </c>
    </row>
    <row r="537" spans="1:14" x14ac:dyDescent="0.3">
      <c r="A537">
        <v>23893</v>
      </c>
      <c r="B537" t="s">
        <v>36</v>
      </c>
      <c r="C537" t="s">
        <v>40</v>
      </c>
      <c r="D537" s="3">
        <v>50000</v>
      </c>
      <c r="E537">
        <v>3</v>
      </c>
      <c r="F537" t="s">
        <v>13</v>
      </c>
      <c r="G537" t="s">
        <v>14</v>
      </c>
      <c r="H537" t="s">
        <v>15</v>
      </c>
      <c r="I537">
        <v>3</v>
      </c>
      <c r="J537" t="s">
        <v>44</v>
      </c>
      <c r="K537" t="s">
        <v>32</v>
      </c>
      <c r="L537">
        <v>41</v>
      </c>
      <c r="M537" t="str">
        <f t="shared" si="8"/>
        <v>Middle Age31-54</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Age31-54</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Age31-54</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Age31-54</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Age31-54</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Age31-54</v>
      </c>
      <c r="N542" t="s">
        <v>18</v>
      </c>
    </row>
    <row r="543" spans="1:14" x14ac:dyDescent="0.3">
      <c r="A543">
        <v>25375</v>
      </c>
      <c r="B543" t="s">
        <v>36</v>
      </c>
      <c r="C543" t="s">
        <v>40</v>
      </c>
      <c r="D543" s="3">
        <v>50000</v>
      </c>
      <c r="E543">
        <v>1</v>
      </c>
      <c r="F543" t="s">
        <v>31</v>
      </c>
      <c r="G543" t="s">
        <v>14</v>
      </c>
      <c r="H543" t="s">
        <v>15</v>
      </c>
      <c r="I543">
        <v>0</v>
      </c>
      <c r="J543" t="s">
        <v>26</v>
      </c>
      <c r="K543" t="s">
        <v>32</v>
      </c>
      <c r="L543">
        <v>34</v>
      </c>
      <c r="M543" t="str">
        <f t="shared" si="8"/>
        <v>Middle Age31-54</v>
      </c>
      <c r="N543" t="s">
        <v>18</v>
      </c>
    </row>
    <row r="544" spans="1:14" x14ac:dyDescent="0.3">
      <c r="A544">
        <v>11143</v>
      </c>
      <c r="B544" t="s">
        <v>36</v>
      </c>
      <c r="C544" t="s">
        <v>40</v>
      </c>
      <c r="D544" s="3">
        <v>40000</v>
      </c>
      <c r="E544">
        <v>0</v>
      </c>
      <c r="F544" t="s">
        <v>27</v>
      </c>
      <c r="G544" t="s">
        <v>14</v>
      </c>
      <c r="H544" t="s">
        <v>15</v>
      </c>
      <c r="I544">
        <v>2</v>
      </c>
      <c r="J544" t="s">
        <v>23</v>
      </c>
      <c r="K544" t="s">
        <v>32</v>
      </c>
      <c r="L544">
        <v>29</v>
      </c>
      <c r="M544" t="str">
        <f t="shared" si="8"/>
        <v>Adolescent0-30</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Age31-54</v>
      </c>
      <c r="N545" t="s">
        <v>18</v>
      </c>
    </row>
    <row r="546" spans="1:14" x14ac:dyDescent="0.3">
      <c r="A546">
        <v>24397</v>
      </c>
      <c r="B546" t="s">
        <v>37</v>
      </c>
      <c r="C546" t="s">
        <v>40</v>
      </c>
      <c r="D546" s="3">
        <v>120000</v>
      </c>
      <c r="E546">
        <v>2</v>
      </c>
      <c r="F546" t="s">
        <v>13</v>
      </c>
      <c r="G546" t="s">
        <v>28</v>
      </c>
      <c r="H546" t="s">
        <v>18</v>
      </c>
      <c r="I546">
        <v>4</v>
      </c>
      <c r="J546" t="s">
        <v>26</v>
      </c>
      <c r="K546" t="s">
        <v>32</v>
      </c>
      <c r="L546">
        <v>40</v>
      </c>
      <c r="M546" t="str">
        <f t="shared" si="8"/>
        <v>Middle Age31-54</v>
      </c>
      <c r="N546" t="s">
        <v>18</v>
      </c>
    </row>
    <row r="547" spans="1:14" x14ac:dyDescent="0.3">
      <c r="A547">
        <v>19758</v>
      </c>
      <c r="B547" t="s">
        <v>37</v>
      </c>
      <c r="C547" t="s">
        <v>40</v>
      </c>
      <c r="D547" s="3">
        <v>60000</v>
      </c>
      <c r="E547">
        <v>0</v>
      </c>
      <c r="F547" t="s">
        <v>19</v>
      </c>
      <c r="G547" t="s">
        <v>14</v>
      </c>
      <c r="H547" t="s">
        <v>18</v>
      </c>
      <c r="I547">
        <v>2</v>
      </c>
      <c r="J547" t="s">
        <v>26</v>
      </c>
      <c r="K547" t="s">
        <v>32</v>
      </c>
      <c r="L547">
        <v>29</v>
      </c>
      <c r="M547" t="str">
        <f t="shared" si="8"/>
        <v>Adolescent0-30</v>
      </c>
      <c r="N547" t="s">
        <v>18</v>
      </c>
    </row>
    <row r="548" spans="1:14" x14ac:dyDescent="0.3">
      <c r="A548">
        <v>15529</v>
      </c>
      <c r="B548" t="s">
        <v>36</v>
      </c>
      <c r="C548" t="s">
        <v>40</v>
      </c>
      <c r="D548" s="3">
        <v>60000</v>
      </c>
      <c r="E548">
        <v>4</v>
      </c>
      <c r="F548" t="s">
        <v>13</v>
      </c>
      <c r="G548" t="s">
        <v>21</v>
      </c>
      <c r="H548" t="s">
        <v>15</v>
      </c>
      <c r="I548">
        <v>2</v>
      </c>
      <c r="J548" t="s">
        <v>22</v>
      </c>
      <c r="K548" t="s">
        <v>32</v>
      </c>
      <c r="L548">
        <v>43</v>
      </c>
      <c r="M548" t="str">
        <f t="shared" si="8"/>
        <v>Middle Age31-54</v>
      </c>
      <c r="N548" t="s">
        <v>15</v>
      </c>
    </row>
    <row r="549" spans="1:14" x14ac:dyDescent="0.3">
      <c r="A549">
        <v>19884</v>
      </c>
      <c r="B549" t="s">
        <v>36</v>
      </c>
      <c r="C549" t="s">
        <v>40</v>
      </c>
      <c r="D549" s="3">
        <v>60000</v>
      </c>
      <c r="E549">
        <v>2</v>
      </c>
      <c r="F549" t="s">
        <v>27</v>
      </c>
      <c r="G549" t="s">
        <v>21</v>
      </c>
      <c r="H549" t="s">
        <v>15</v>
      </c>
      <c r="I549">
        <v>2</v>
      </c>
      <c r="J549" t="s">
        <v>22</v>
      </c>
      <c r="K549" t="s">
        <v>32</v>
      </c>
      <c r="L549">
        <v>55</v>
      </c>
      <c r="M549" t="str">
        <f t="shared" si="8"/>
        <v>Middle Age31-54</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Age31-54</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Age31-54</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Age31-54</v>
      </c>
      <c r="N552" t="s">
        <v>15</v>
      </c>
    </row>
    <row r="553" spans="1:14" x14ac:dyDescent="0.3">
      <c r="A553">
        <v>27393</v>
      </c>
      <c r="B553" t="s">
        <v>36</v>
      </c>
      <c r="C553" t="s">
        <v>39</v>
      </c>
      <c r="D553" s="3">
        <v>50000</v>
      </c>
      <c r="E553">
        <v>4</v>
      </c>
      <c r="F553" t="s">
        <v>13</v>
      </c>
      <c r="G553" t="s">
        <v>28</v>
      </c>
      <c r="H553" t="s">
        <v>15</v>
      </c>
      <c r="I553">
        <v>2</v>
      </c>
      <c r="J553" t="s">
        <v>44</v>
      </c>
      <c r="K553" t="s">
        <v>32</v>
      </c>
      <c r="L553">
        <v>63</v>
      </c>
      <c r="M553" t="str">
        <f t="shared" si="8"/>
        <v>Old 55+</v>
      </c>
      <c r="N553" t="s">
        <v>18</v>
      </c>
    </row>
    <row r="554" spans="1:14" x14ac:dyDescent="0.3">
      <c r="A554">
        <v>14417</v>
      </c>
      <c r="B554" t="s">
        <v>37</v>
      </c>
      <c r="C554" t="s">
        <v>40</v>
      </c>
      <c r="D554" s="3">
        <v>60000</v>
      </c>
      <c r="E554">
        <v>3</v>
      </c>
      <c r="F554" t="s">
        <v>27</v>
      </c>
      <c r="G554" t="s">
        <v>21</v>
      </c>
      <c r="H554" t="s">
        <v>15</v>
      </c>
      <c r="I554">
        <v>2</v>
      </c>
      <c r="J554" t="s">
        <v>44</v>
      </c>
      <c r="K554" t="s">
        <v>32</v>
      </c>
      <c r="L554">
        <v>54</v>
      </c>
      <c r="M554" t="str">
        <f t="shared" si="8"/>
        <v>Middle Age31-54</v>
      </c>
      <c r="N554" t="s">
        <v>15</v>
      </c>
    </row>
    <row r="555" spans="1:14" x14ac:dyDescent="0.3">
      <c r="A555">
        <v>17533</v>
      </c>
      <c r="B555" t="s">
        <v>36</v>
      </c>
      <c r="C555" t="s">
        <v>40</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Age31-54</v>
      </c>
      <c r="N556" t="s">
        <v>15</v>
      </c>
    </row>
    <row r="557" spans="1:14" x14ac:dyDescent="0.3">
      <c r="A557">
        <v>17025</v>
      </c>
      <c r="B557" t="s">
        <v>37</v>
      </c>
      <c r="C557" t="s">
        <v>40</v>
      </c>
      <c r="D557" s="3">
        <v>50000</v>
      </c>
      <c r="E557">
        <v>0</v>
      </c>
      <c r="F557" t="s">
        <v>19</v>
      </c>
      <c r="G557" t="s">
        <v>14</v>
      </c>
      <c r="H557" t="s">
        <v>18</v>
      </c>
      <c r="I557">
        <v>1</v>
      </c>
      <c r="J557" t="s">
        <v>22</v>
      </c>
      <c r="K557" t="s">
        <v>32</v>
      </c>
      <c r="L557">
        <v>39</v>
      </c>
      <c r="M557" t="str">
        <f t="shared" si="8"/>
        <v>Middle Age31-54</v>
      </c>
      <c r="N557" t="s">
        <v>15</v>
      </c>
    </row>
    <row r="558" spans="1:14" x14ac:dyDescent="0.3">
      <c r="A558">
        <v>25293</v>
      </c>
      <c r="B558" t="s">
        <v>36</v>
      </c>
      <c r="C558" t="s">
        <v>40</v>
      </c>
      <c r="D558" s="3">
        <v>80000</v>
      </c>
      <c r="E558">
        <v>4</v>
      </c>
      <c r="F558" t="s">
        <v>13</v>
      </c>
      <c r="G558" t="s">
        <v>28</v>
      </c>
      <c r="H558" t="s">
        <v>15</v>
      </c>
      <c r="I558">
        <v>0</v>
      </c>
      <c r="J558" t="s">
        <v>26</v>
      </c>
      <c r="K558" t="s">
        <v>32</v>
      </c>
      <c r="L558">
        <v>42</v>
      </c>
      <c r="M558" t="str">
        <f t="shared" si="8"/>
        <v>Middle Age31-54</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Age31-54</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Age31-54</v>
      </c>
      <c r="N560" t="s">
        <v>18</v>
      </c>
    </row>
    <row r="561" spans="1:14" x14ac:dyDescent="0.3">
      <c r="A561">
        <v>15895</v>
      </c>
      <c r="B561" t="s">
        <v>37</v>
      </c>
      <c r="C561" t="s">
        <v>39</v>
      </c>
      <c r="D561" s="3">
        <v>60000</v>
      </c>
      <c r="E561">
        <v>2</v>
      </c>
      <c r="F561" t="s">
        <v>13</v>
      </c>
      <c r="G561" t="s">
        <v>28</v>
      </c>
      <c r="H561" t="s">
        <v>15</v>
      </c>
      <c r="I561">
        <v>0</v>
      </c>
      <c r="J561" t="s">
        <v>44</v>
      </c>
      <c r="K561" t="s">
        <v>32</v>
      </c>
      <c r="L561">
        <v>58</v>
      </c>
      <c r="M561" t="str">
        <f t="shared" si="8"/>
        <v>Old 55+</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Age31-54</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Age31-54</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Age31-54</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Adolescent0-30</v>
      </c>
      <c r="N565" t="s">
        <v>18</v>
      </c>
    </row>
    <row r="566" spans="1:14" x14ac:dyDescent="0.3">
      <c r="A566">
        <v>17369</v>
      </c>
      <c r="B566" t="s">
        <v>37</v>
      </c>
      <c r="C566" t="s">
        <v>40</v>
      </c>
      <c r="D566" s="3">
        <v>30000</v>
      </c>
      <c r="E566">
        <v>0</v>
      </c>
      <c r="F566" t="s">
        <v>19</v>
      </c>
      <c r="G566" t="s">
        <v>14</v>
      </c>
      <c r="H566" t="s">
        <v>15</v>
      </c>
      <c r="I566">
        <v>1</v>
      </c>
      <c r="J566" t="s">
        <v>23</v>
      </c>
      <c r="K566" t="s">
        <v>32</v>
      </c>
      <c r="L566">
        <v>27</v>
      </c>
      <c r="M566" t="str">
        <f t="shared" si="8"/>
        <v>Adolescent0-30</v>
      </c>
      <c r="N566" t="s">
        <v>18</v>
      </c>
    </row>
    <row r="567" spans="1:14" x14ac:dyDescent="0.3">
      <c r="A567">
        <v>14495</v>
      </c>
      <c r="B567" t="s">
        <v>36</v>
      </c>
      <c r="C567" t="s">
        <v>40</v>
      </c>
      <c r="D567" s="3">
        <v>40000</v>
      </c>
      <c r="E567">
        <v>3</v>
      </c>
      <c r="F567" t="s">
        <v>19</v>
      </c>
      <c r="G567" t="s">
        <v>21</v>
      </c>
      <c r="H567" t="s">
        <v>18</v>
      </c>
      <c r="I567">
        <v>2</v>
      </c>
      <c r="J567" t="s">
        <v>23</v>
      </c>
      <c r="K567" t="s">
        <v>32</v>
      </c>
      <c r="L567">
        <v>54</v>
      </c>
      <c r="M567" t="str">
        <f t="shared" si="8"/>
        <v>Middle Age31-54</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40</v>
      </c>
      <c r="D569" s="3">
        <v>40000</v>
      </c>
      <c r="E569">
        <v>1</v>
      </c>
      <c r="F569" t="s">
        <v>19</v>
      </c>
      <c r="G569" t="s">
        <v>20</v>
      </c>
      <c r="H569" t="s">
        <v>15</v>
      </c>
      <c r="I569">
        <v>1</v>
      </c>
      <c r="J569" t="s">
        <v>26</v>
      </c>
      <c r="K569" t="s">
        <v>32</v>
      </c>
      <c r="L569">
        <v>48</v>
      </c>
      <c r="M569" t="str">
        <f t="shared" si="8"/>
        <v>Middle Age31-54</v>
      </c>
      <c r="N569" t="s">
        <v>15</v>
      </c>
    </row>
    <row r="570" spans="1:14" x14ac:dyDescent="0.3">
      <c r="A570">
        <v>23378</v>
      </c>
      <c r="B570" t="s">
        <v>36</v>
      </c>
      <c r="C570" t="s">
        <v>40</v>
      </c>
      <c r="D570" s="3">
        <v>70000</v>
      </c>
      <c r="E570">
        <v>1</v>
      </c>
      <c r="F570" t="s">
        <v>19</v>
      </c>
      <c r="G570" t="s">
        <v>14</v>
      </c>
      <c r="H570" t="s">
        <v>15</v>
      </c>
      <c r="I570">
        <v>1</v>
      </c>
      <c r="J570" t="s">
        <v>22</v>
      </c>
      <c r="K570" t="s">
        <v>32</v>
      </c>
      <c r="L570">
        <v>44</v>
      </c>
      <c r="M570" t="str">
        <f t="shared" si="8"/>
        <v>Middle Age31-54</v>
      </c>
      <c r="N570" t="s">
        <v>15</v>
      </c>
    </row>
    <row r="571" spans="1:14" x14ac:dyDescent="0.3">
      <c r="A571">
        <v>26452</v>
      </c>
      <c r="B571" t="s">
        <v>37</v>
      </c>
      <c r="C571" t="s">
        <v>40</v>
      </c>
      <c r="D571" s="3">
        <v>50000</v>
      </c>
      <c r="E571">
        <v>3</v>
      </c>
      <c r="F571" t="s">
        <v>31</v>
      </c>
      <c r="G571" t="s">
        <v>28</v>
      </c>
      <c r="H571" t="s">
        <v>15</v>
      </c>
      <c r="I571">
        <v>2</v>
      </c>
      <c r="J571" t="s">
        <v>44</v>
      </c>
      <c r="K571" t="s">
        <v>32</v>
      </c>
      <c r="L571">
        <v>69</v>
      </c>
      <c r="M571" t="str">
        <f t="shared" si="8"/>
        <v>Old 55+</v>
      </c>
      <c r="N571" t="s">
        <v>18</v>
      </c>
    </row>
    <row r="572" spans="1:14" x14ac:dyDescent="0.3">
      <c r="A572">
        <v>20370</v>
      </c>
      <c r="B572" t="s">
        <v>36</v>
      </c>
      <c r="C572" t="s">
        <v>40</v>
      </c>
      <c r="D572" s="3">
        <v>70000</v>
      </c>
      <c r="E572">
        <v>3</v>
      </c>
      <c r="F572" t="s">
        <v>29</v>
      </c>
      <c r="G572" t="s">
        <v>14</v>
      </c>
      <c r="H572" t="s">
        <v>15</v>
      </c>
      <c r="I572">
        <v>2</v>
      </c>
      <c r="J572" t="s">
        <v>23</v>
      </c>
      <c r="K572" t="s">
        <v>32</v>
      </c>
      <c r="L572">
        <v>52</v>
      </c>
      <c r="M572" t="str">
        <f t="shared" si="8"/>
        <v>Middle Age31-54</v>
      </c>
      <c r="N572" t="s">
        <v>18</v>
      </c>
    </row>
    <row r="573" spans="1:14" x14ac:dyDescent="0.3">
      <c r="A573">
        <v>20528</v>
      </c>
      <c r="B573" t="s">
        <v>36</v>
      </c>
      <c r="C573" t="s">
        <v>40</v>
      </c>
      <c r="D573" s="3">
        <v>40000</v>
      </c>
      <c r="E573">
        <v>2</v>
      </c>
      <c r="F573" t="s">
        <v>29</v>
      </c>
      <c r="G573" t="s">
        <v>14</v>
      </c>
      <c r="H573" t="s">
        <v>15</v>
      </c>
      <c r="I573">
        <v>2</v>
      </c>
      <c r="J573" t="s">
        <v>22</v>
      </c>
      <c r="K573" t="s">
        <v>32</v>
      </c>
      <c r="L573">
        <v>55</v>
      </c>
      <c r="M573" t="str">
        <f t="shared" si="8"/>
        <v>Middle Age31-54</v>
      </c>
      <c r="N573" t="s">
        <v>18</v>
      </c>
    </row>
    <row r="574" spans="1:14" x14ac:dyDescent="0.3">
      <c r="A574">
        <v>23549</v>
      </c>
      <c r="B574" t="s">
        <v>37</v>
      </c>
      <c r="C574" t="s">
        <v>40</v>
      </c>
      <c r="D574" s="3">
        <v>30000</v>
      </c>
      <c r="E574">
        <v>0</v>
      </c>
      <c r="F574" t="s">
        <v>27</v>
      </c>
      <c r="G574" t="s">
        <v>14</v>
      </c>
      <c r="H574" t="s">
        <v>15</v>
      </c>
      <c r="I574">
        <v>2</v>
      </c>
      <c r="J574" t="s">
        <v>23</v>
      </c>
      <c r="K574" t="s">
        <v>32</v>
      </c>
      <c r="L574">
        <v>30</v>
      </c>
      <c r="M574" t="str">
        <f t="shared" si="8"/>
        <v>Adolescent0-30</v>
      </c>
      <c r="N574" t="s">
        <v>18</v>
      </c>
    </row>
    <row r="575" spans="1:14" x14ac:dyDescent="0.3">
      <c r="A575">
        <v>21751</v>
      </c>
      <c r="B575" t="s">
        <v>36</v>
      </c>
      <c r="C575" t="s">
        <v>40</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Age31-54</v>
      </c>
      <c r="N576" t="s">
        <v>15</v>
      </c>
    </row>
    <row r="577" spans="1:14" x14ac:dyDescent="0.3">
      <c r="A577">
        <v>13388</v>
      </c>
      <c r="B577" t="s">
        <v>37</v>
      </c>
      <c r="C577" t="s">
        <v>40</v>
      </c>
      <c r="D577" s="3">
        <v>60000</v>
      </c>
      <c r="E577">
        <v>2</v>
      </c>
      <c r="F577" t="s">
        <v>19</v>
      </c>
      <c r="G577" t="s">
        <v>21</v>
      </c>
      <c r="H577" t="s">
        <v>15</v>
      </c>
      <c r="I577">
        <v>1</v>
      </c>
      <c r="J577" t="s">
        <v>44</v>
      </c>
      <c r="K577" t="s">
        <v>32</v>
      </c>
      <c r="L577">
        <v>56</v>
      </c>
      <c r="M577" t="str">
        <f t="shared" si="8"/>
        <v>Old 55+</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Age31-54</v>
      </c>
      <c r="N578" t="s">
        <v>18</v>
      </c>
    </row>
    <row r="579" spans="1:14" x14ac:dyDescent="0.3">
      <c r="A579">
        <v>16917</v>
      </c>
      <c r="B579" t="s">
        <v>36</v>
      </c>
      <c r="C579" t="s">
        <v>40</v>
      </c>
      <c r="D579" s="3">
        <v>120000</v>
      </c>
      <c r="E579">
        <v>1</v>
      </c>
      <c r="F579" t="s">
        <v>13</v>
      </c>
      <c r="G579" t="s">
        <v>28</v>
      </c>
      <c r="H579" t="s">
        <v>15</v>
      </c>
      <c r="I579">
        <v>4</v>
      </c>
      <c r="J579" t="s">
        <v>16</v>
      </c>
      <c r="K579" t="s">
        <v>32</v>
      </c>
      <c r="L579">
        <v>38</v>
      </c>
      <c r="M579" t="str">
        <f t="shared" ref="M579:M642" si="9">IF(L579&gt;55, "Old 55+", IF(L579&gt;=31, "Middle Age31-54",IF(L579&lt;31,"Adolescent0-30","Invalid")))</f>
        <v>Middle Age31-54</v>
      </c>
      <c r="N579" t="s">
        <v>18</v>
      </c>
    </row>
    <row r="580" spans="1:14" x14ac:dyDescent="0.3">
      <c r="A580">
        <v>15313</v>
      </c>
      <c r="B580" t="s">
        <v>36</v>
      </c>
      <c r="C580" t="s">
        <v>40</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Age31-54</v>
      </c>
      <c r="N581" t="s">
        <v>18</v>
      </c>
    </row>
    <row r="582" spans="1:14" x14ac:dyDescent="0.3">
      <c r="A582">
        <v>20380</v>
      </c>
      <c r="B582" t="s">
        <v>36</v>
      </c>
      <c r="C582" t="s">
        <v>39</v>
      </c>
      <c r="D582" s="3">
        <v>60000</v>
      </c>
      <c r="E582">
        <v>3</v>
      </c>
      <c r="F582" t="s">
        <v>31</v>
      </c>
      <c r="G582" t="s">
        <v>28</v>
      </c>
      <c r="H582" t="s">
        <v>15</v>
      </c>
      <c r="I582">
        <v>2</v>
      </c>
      <c r="J582" t="s">
        <v>44</v>
      </c>
      <c r="K582" t="s">
        <v>32</v>
      </c>
      <c r="L582">
        <v>69</v>
      </c>
      <c r="M582" t="str">
        <f t="shared" si="9"/>
        <v>Old 55+</v>
      </c>
      <c r="N582" t="s">
        <v>18</v>
      </c>
    </row>
    <row r="583" spans="1:14" x14ac:dyDescent="0.3">
      <c r="A583">
        <v>23089</v>
      </c>
      <c r="B583" t="s">
        <v>36</v>
      </c>
      <c r="C583" t="s">
        <v>40</v>
      </c>
      <c r="D583" s="3">
        <v>40000</v>
      </c>
      <c r="E583">
        <v>0</v>
      </c>
      <c r="F583" t="s">
        <v>19</v>
      </c>
      <c r="G583" t="s">
        <v>14</v>
      </c>
      <c r="H583" t="s">
        <v>15</v>
      </c>
      <c r="I583">
        <v>1</v>
      </c>
      <c r="J583" t="s">
        <v>23</v>
      </c>
      <c r="K583" t="s">
        <v>32</v>
      </c>
      <c r="L583">
        <v>28</v>
      </c>
      <c r="M583" t="str">
        <f t="shared" si="9"/>
        <v>Adolescent0-30</v>
      </c>
      <c r="N583" t="s">
        <v>18</v>
      </c>
    </row>
    <row r="584" spans="1:14" x14ac:dyDescent="0.3">
      <c r="A584">
        <v>13749</v>
      </c>
      <c r="B584" t="s">
        <v>36</v>
      </c>
      <c r="C584" t="s">
        <v>40</v>
      </c>
      <c r="D584" s="3">
        <v>80000</v>
      </c>
      <c r="E584">
        <v>4</v>
      </c>
      <c r="F584" t="s">
        <v>31</v>
      </c>
      <c r="G584" t="s">
        <v>14</v>
      </c>
      <c r="H584" t="s">
        <v>15</v>
      </c>
      <c r="I584">
        <v>0</v>
      </c>
      <c r="J584" t="s">
        <v>26</v>
      </c>
      <c r="K584" t="s">
        <v>32</v>
      </c>
      <c r="L584">
        <v>47</v>
      </c>
      <c r="M584" t="str">
        <f t="shared" si="9"/>
        <v>Middle Age31-54</v>
      </c>
      <c r="N584" t="s">
        <v>18</v>
      </c>
    </row>
    <row r="585" spans="1:14" x14ac:dyDescent="0.3">
      <c r="A585">
        <v>24943</v>
      </c>
      <c r="B585" t="s">
        <v>36</v>
      </c>
      <c r="C585" t="s">
        <v>40</v>
      </c>
      <c r="D585" s="3">
        <v>60000</v>
      </c>
      <c r="E585">
        <v>3</v>
      </c>
      <c r="F585" t="s">
        <v>13</v>
      </c>
      <c r="G585" t="s">
        <v>28</v>
      </c>
      <c r="H585" t="s">
        <v>15</v>
      </c>
      <c r="I585">
        <v>2</v>
      </c>
      <c r="J585" t="s">
        <v>44</v>
      </c>
      <c r="K585" t="s">
        <v>32</v>
      </c>
      <c r="L585">
        <v>66</v>
      </c>
      <c r="M585" t="str">
        <f t="shared" si="9"/>
        <v>Old 55+</v>
      </c>
      <c r="N585" t="s">
        <v>18</v>
      </c>
    </row>
    <row r="586" spans="1:14" x14ac:dyDescent="0.3">
      <c r="A586">
        <v>28667</v>
      </c>
      <c r="B586" t="s">
        <v>37</v>
      </c>
      <c r="C586" t="s">
        <v>40</v>
      </c>
      <c r="D586" s="3">
        <v>70000</v>
      </c>
      <c r="E586">
        <v>2</v>
      </c>
      <c r="F586" t="s">
        <v>13</v>
      </c>
      <c r="G586" t="s">
        <v>14</v>
      </c>
      <c r="H586" t="s">
        <v>18</v>
      </c>
      <c r="I586">
        <v>1</v>
      </c>
      <c r="J586" t="s">
        <v>16</v>
      </c>
      <c r="K586" t="s">
        <v>32</v>
      </c>
      <c r="L586">
        <v>37</v>
      </c>
      <c r="M586" t="str">
        <f t="shared" si="9"/>
        <v>Middle Age31-54</v>
      </c>
      <c r="N586" t="s">
        <v>15</v>
      </c>
    </row>
    <row r="587" spans="1:14" x14ac:dyDescent="0.3">
      <c r="A587">
        <v>15194</v>
      </c>
      <c r="B587" t="s">
        <v>37</v>
      </c>
      <c r="C587" t="s">
        <v>40</v>
      </c>
      <c r="D587" s="3">
        <v>120000</v>
      </c>
      <c r="E587">
        <v>2</v>
      </c>
      <c r="F587" t="s">
        <v>13</v>
      </c>
      <c r="G587" t="s">
        <v>28</v>
      </c>
      <c r="H587" t="s">
        <v>18</v>
      </c>
      <c r="I587">
        <v>3</v>
      </c>
      <c r="J587" t="s">
        <v>16</v>
      </c>
      <c r="K587" t="s">
        <v>32</v>
      </c>
      <c r="L587">
        <v>39</v>
      </c>
      <c r="M587" t="str">
        <f t="shared" si="9"/>
        <v>Middle Age31-54</v>
      </c>
      <c r="N587" t="s">
        <v>15</v>
      </c>
    </row>
    <row r="588" spans="1:14" x14ac:dyDescent="0.3">
      <c r="A588">
        <v>17436</v>
      </c>
      <c r="B588" t="s">
        <v>36</v>
      </c>
      <c r="C588" t="s">
        <v>40</v>
      </c>
      <c r="D588" s="3">
        <v>60000</v>
      </c>
      <c r="E588">
        <v>2</v>
      </c>
      <c r="F588" t="s">
        <v>27</v>
      </c>
      <c r="G588" t="s">
        <v>21</v>
      </c>
      <c r="H588" t="s">
        <v>18</v>
      </c>
      <c r="I588">
        <v>2</v>
      </c>
      <c r="J588" t="s">
        <v>26</v>
      </c>
      <c r="K588" t="s">
        <v>32</v>
      </c>
      <c r="L588">
        <v>51</v>
      </c>
      <c r="M588" t="str">
        <f t="shared" si="9"/>
        <v>Middle Age31-54</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Age31-54</v>
      </c>
      <c r="N589" t="s">
        <v>18</v>
      </c>
    </row>
    <row r="590" spans="1:14" x14ac:dyDescent="0.3">
      <c r="A590">
        <v>16871</v>
      </c>
      <c r="B590" t="s">
        <v>36</v>
      </c>
      <c r="C590" t="s">
        <v>39</v>
      </c>
      <c r="D590" s="3">
        <v>90000</v>
      </c>
      <c r="E590">
        <v>2</v>
      </c>
      <c r="F590" t="s">
        <v>27</v>
      </c>
      <c r="G590" t="s">
        <v>21</v>
      </c>
      <c r="H590" t="s">
        <v>15</v>
      </c>
      <c r="I590">
        <v>1</v>
      </c>
      <c r="J590" t="s">
        <v>44</v>
      </c>
      <c r="K590" t="s">
        <v>32</v>
      </c>
      <c r="L590">
        <v>51</v>
      </c>
      <c r="M590" t="str">
        <f t="shared" si="9"/>
        <v>Middle Age31-54</v>
      </c>
      <c r="N590" t="s">
        <v>15</v>
      </c>
    </row>
    <row r="591" spans="1:14" x14ac:dyDescent="0.3">
      <c r="A591">
        <v>12100</v>
      </c>
      <c r="B591" t="s">
        <v>37</v>
      </c>
      <c r="C591" t="s">
        <v>40</v>
      </c>
      <c r="D591" s="3">
        <v>60000</v>
      </c>
      <c r="E591">
        <v>2</v>
      </c>
      <c r="F591" t="s">
        <v>13</v>
      </c>
      <c r="G591" t="s">
        <v>28</v>
      </c>
      <c r="H591" t="s">
        <v>15</v>
      </c>
      <c r="I591">
        <v>0</v>
      </c>
      <c r="J591" t="s">
        <v>44</v>
      </c>
      <c r="K591" t="s">
        <v>32</v>
      </c>
      <c r="L591">
        <v>57</v>
      </c>
      <c r="M591" t="str">
        <f t="shared" si="9"/>
        <v>Old 55+</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Age31-54</v>
      </c>
      <c r="N592" t="s">
        <v>15</v>
      </c>
    </row>
    <row r="593" spans="1:14" x14ac:dyDescent="0.3">
      <c r="A593">
        <v>18545</v>
      </c>
      <c r="B593" t="s">
        <v>36</v>
      </c>
      <c r="C593" t="s">
        <v>40</v>
      </c>
      <c r="D593" s="3">
        <v>40000</v>
      </c>
      <c r="E593">
        <v>4</v>
      </c>
      <c r="F593" t="s">
        <v>27</v>
      </c>
      <c r="G593" t="s">
        <v>21</v>
      </c>
      <c r="H593" t="s">
        <v>18</v>
      </c>
      <c r="I593">
        <v>2</v>
      </c>
      <c r="J593" t="s">
        <v>44</v>
      </c>
      <c r="K593" t="s">
        <v>32</v>
      </c>
      <c r="L593">
        <v>61</v>
      </c>
      <c r="M593" t="str">
        <f t="shared" si="9"/>
        <v>Old 55+</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Age31-54</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Age31-54</v>
      </c>
      <c r="N595" t="s">
        <v>15</v>
      </c>
    </row>
    <row r="596" spans="1:14" x14ac:dyDescent="0.3">
      <c r="A596">
        <v>27660</v>
      </c>
      <c r="B596" t="s">
        <v>36</v>
      </c>
      <c r="C596" t="s">
        <v>40</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Age31-54</v>
      </c>
      <c r="N598" t="s">
        <v>18</v>
      </c>
    </row>
    <row r="599" spans="1:14" x14ac:dyDescent="0.3">
      <c r="A599">
        <v>28997</v>
      </c>
      <c r="B599" t="s">
        <v>37</v>
      </c>
      <c r="C599" t="s">
        <v>40</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40</v>
      </c>
      <c r="D600" s="3">
        <v>130000</v>
      </c>
      <c r="E600">
        <v>1</v>
      </c>
      <c r="F600" t="s">
        <v>31</v>
      </c>
      <c r="G600" t="s">
        <v>28</v>
      </c>
      <c r="H600" t="s">
        <v>15</v>
      </c>
      <c r="I600">
        <v>4</v>
      </c>
      <c r="J600" t="s">
        <v>16</v>
      </c>
      <c r="K600" t="s">
        <v>32</v>
      </c>
      <c r="L600">
        <v>41</v>
      </c>
      <c r="M600" t="str">
        <f t="shared" si="9"/>
        <v>Middle Age31-54</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40</v>
      </c>
      <c r="D602" s="3">
        <v>30000</v>
      </c>
      <c r="E602">
        <v>2</v>
      </c>
      <c r="F602" t="s">
        <v>27</v>
      </c>
      <c r="G602" t="s">
        <v>14</v>
      </c>
      <c r="H602" t="s">
        <v>18</v>
      </c>
      <c r="I602">
        <v>2</v>
      </c>
      <c r="J602" t="s">
        <v>16</v>
      </c>
      <c r="K602" t="s">
        <v>32</v>
      </c>
      <c r="L602">
        <v>49</v>
      </c>
      <c r="M602" t="str">
        <f t="shared" si="9"/>
        <v>Middle Age31-54</v>
      </c>
      <c r="N602" t="s">
        <v>18</v>
      </c>
    </row>
    <row r="603" spans="1:14" x14ac:dyDescent="0.3">
      <c r="A603">
        <v>29231</v>
      </c>
      <c r="B603" t="s">
        <v>37</v>
      </c>
      <c r="C603" t="s">
        <v>40</v>
      </c>
      <c r="D603" s="3">
        <v>80000</v>
      </c>
      <c r="E603">
        <v>4</v>
      </c>
      <c r="F603" t="s">
        <v>19</v>
      </c>
      <c r="G603" t="s">
        <v>21</v>
      </c>
      <c r="H603" t="s">
        <v>18</v>
      </c>
      <c r="I603">
        <v>2</v>
      </c>
      <c r="J603" t="s">
        <v>16</v>
      </c>
      <c r="K603" t="s">
        <v>32</v>
      </c>
      <c r="L603">
        <v>43</v>
      </c>
      <c r="M603" t="str">
        <f t="shared" si="9"/>
        <v>Middle Age31-54</v>
      </c>
      <c r="N603" t="s">
        <v>18</v>
      </c>
    </row>
    <row r="604" spans="1:14" x14ac:dyDescent="0.3">
      <c r="A604">
        <v>18858</v>
      </c>
      <c r="B604" t="s">
        <v>37</v>
      </c>
      <c r="C604" t="s">
        <v>40</v>
      </c>
      <c r="D604" s="3">
        <v>60000</v>
      </c>
      <c r="E604">
        <v>2</v>
      </c>
      <c r="F604" t="s">
        <v>29</v>
      </c>
      <c r="G604" t="s">
        <v>14</v>
      </c>
      <c r="H604" t="s">
        <v>15</v>
      </c>
      <c r="I604">
        <v>2</v>
      </c>
      <c r="J604" t="s">
        <v>23</v>
      </c>
      <c r="K604" t="s">
        <v>32</v>
      </c>
      <c r="L604">
        <v>52</v>
      </c>
      <c r="M604" t="str">
        <f t="shared" si="9"/>
        <v>Middle Age31-54</v>
      </c>
      <c r="N604" t="s">
        <v>15</v>
      </c>
    </row>
    <row r="605" spans="1:14" x14ac:dyDescent="0.3">
      <c r="A605">
        <v>20000</v>
      </c>
      <c r="B605" t="s">
        <v>36</v>
      </c>
      <c r="C605" t="s">
        <v>40</v>
      </c>
      <c r="D605" s="3">
        <v>60000</v>
      </c>
      <c r="E605">
        <v>1</v>
      </c>
      <c r="F605" t="s">
        <v>31</v>
      </c>
      <c r="G605" t="s">
        <v>21</v>
      </c>
      <c r="H605" t="s">
        <v>15</v>
      </c>
      <c r="I605">
        <v>0</v>
      </c>
      <c r="J605" t="s">
        <v>16</v>
      </c>
      <c r="K605" t="s">
        <v>32</v>
      </c>
      <c r="L605">
        <v>35</v>
      </c>
      <c r="M605" t="str">
        <f t="shared" si="9"/>
        <v>Middle Age31-54</v>
      </c>
      <c r="N605" t="s">
        <v>15</v>
      </c>
    </row>
    <row r="606" spans="1:14" x14ac:dyDescent="0.3">
      <c r="A606">
        <v>25261</v>
      </c>
      <c r="B606" t="s">
        <v>36</v>
      </c>
      <c r="C606" t="s">
        <v>40</v>
      </c>
      <c r="D606" s="3">
        <v>40000</v>
      </c>
      <c r="E606">
        <v>0</v>
      </c>
      <c r="F606" t="s">
        <v>27</v>
      </c>
      <c r="G606" t="s">
        <v>14</v>
      </c>
      <c r="H606" t="s">
        <v>15</v>
      </c>
      <c r="I606">
        <v>2</v>
      </c>
      <c r="J606" t="s">
        <v>23</v>
      </c>
      <c r="K606" t="s">
        <v>32</v>
      </c>
      <c r="L606">
        <v>27</v>
      </c>
      <c r="M606" t="str">
        <f t="shared" si="9"/>
        <v>Adolescent0-30</v>
      </c>
      <c r="N606" t="s">
        <v>18</v>
      </c>
    </row>
    <row r="607" spans="1:14" x14ac:dyDescent="0.3">
      <c r="A607">
        <v>17458</v>
      </c>
      <c r="B607" t="s">
        <v>37</v>
      </c>
      <c r="C607" t="s">
        <v>40</v>
      </c>
      <c r="D607" s="3">
        <v>70000</v>
      </c>
      <c r="E607">
        <v>3</v>
      </c>
      <c r="F607" t="s">
        <v>27</v>
      </c>
      <c r="G607" t="s">
        <v>21</v>
      </c>
      <c r="H607" t="s">
        <v>15</v>
      </c>
      <c r="I607">
        <v>0</v>
      </c>
      <c r="J607" t="s">
        <v>23</v>
      </c>
      <c r="K607" t="s">
        <v>32</v>
      </c>
      <c r="L607">
        <v>52</v>
      </c>
      <c r="M607" t="str">
        <f t="shared" si="9"/>
        <v>Middle Age31-54</v>
      </c>
      <c r="N607" t="s">
        <v>15</v>
      </c>
    </row>
    <row r="608" spans="1:14" x14ac:dyDescent="0.3">
      <c r="A608">
        <v>11644</v>
      </c>
      <c r="B608" t="s">
        <v>37</v>
      </c>
      <c r="C608" t="s">
        <v>40</v>
      </c>
      <c r="D608" s="3">
        <v>40000</v>
      </c>
      <c r="E608">
        <v>2</v>
      </c>
      <c r="F608" t="s">
        <v>13</v>
      </c>
      <c r="G608" t="s">
        <v>14</v>
      </c>
      <c r="H608" t="s">
        <v>15</v>
      </c>
      <c r="I608">
        <v>0</v>
      </c>
      <c r="J608" t="s">
        <v>22</v>
      </c>
      <c r="K608" t="s">
        <v>32</v>
      </c>
      <c r="L608">
        <v>36</v>
      </c>
      <c r="M608" t="str">
        <f t="shared" si="9"/>
        <v>Middle Age31-54</v>
      </c>
      <c r="N608" t="s">
        <v>18</v>
      </c>
    </row>
    <row r="609" spans="1:14" x14ac:dyDescent="0.3">
      <c r="A609">
        <v>16145</v>
      </c>
      <c r="B609" t="s">
        <v>37</v>
      </c>
      <c r="C609" t="s">
        <v>39</v>
      </c>
      <c r="D609" s="3">
        <v>70000</v>
      </c>
      <c r="E609">
        <v>5</v>
      </c>
      <c r="F609" t="s">
        <v>31</v>
      </c>
      <c r="G609" t="s">
        <v>21</v>
      </c>
      <c r="H609" t="s">
        <v>15</v>
      </c>
      <c r="I609">
        <v>3</v>
      </c>
      <c r="J609" t="s">
        <v>44</v>
      </c>
      <c r="K609" t="s">
        <v>32</v>
      </c>
      <c r="L609">
        <v>46</v>
      </c>
      <c r="M609" t="str">
        <f t="shared" si="9"/>
        <v>Middle Age31-54</v>
      </c>
      <c r="N609" t="s">
        <v>15</v>
      </c>
    </row>
    <row r="610" spans="1:14" x14ac:dyDescent="0.3">
      <c r="A610">
        <v>16890</v>
      </c>
      <c r="B610" t="s">
        <v>36</v>
      </c>
      <c r="C610" t="s">
        <v>40</v>
      </c>
      <c r="D610" s="3">
        <v>60000</v>
      </c>
      <c r="E610">
        <v>3</v>
      </c>
      <c r="F610" t="s">
        <v>29</v>
      </c>
      <c r="G610" t="s">
        <v>14</v>
      </c>
      <c r="H610" t="s">
        <v>15</v>
      </c>
      <c r="I610">
        <v>2</v>
      </c>
      <c r="J610" t="s">
        <v>23</v>
      </c>
      <c r="K610" t="s">
        <v>32</v>
      </c>
      <c r="L610">
        <v>52</v>
      </c>
      <c r="M610" t="str">
        <f t="shared" si="9"/>
        <v>Middle Age31-54</v>
      </c>
      <c r="N610" t="s">
        <v>15</v>
      </c>
    </row>
    <row r="611" spans="1:14" x14ac:dyDescent="0.3">
      <c r="A611">
        <v>25983</v>
      </c>
      <c r="B611" t="s">
        <v>36</v>
      </c>
      <c r="C611" t="s">
        <v>40</v>
      </c>
      <c r="D611" s="3">
        <v>70000</v>
      </c>
      <c r="E611">
        <v>0</v>
      </c>
      <c r="F611" t="s">
        <v>13</v>
      </c>
      <c r="G611" t="s">
        <v>21</v>
      </c>
      <c r="H611" t="s">
        <v>18</v>
      </c>
      <c r="I611">
        <v>1</v>
      </c>
      <c r="J611" t="s">
        <v>16</v>
      </c>
      <c r="K611" t="s">
        <v>32</v>
      </c>
      <c r="L611">
        <v>43</v>
      </c>
      <c r="M611" t="str">
        <f t="shared" si="9"/>
        <v>Middle Age31-54</v>
      </c>
      <c r="N611" t="s">
        <v>18</v>
      </c>
    </row>
    <row r="612" spans="1:14" x14ac:dyDescent="0.3">
      <c r="A612">
        <v>14633</v>
      </c>
      <c r="B612" t="s">
        <v>36</v>
      </c>
      <c r="C612" t="s">
        <v>40</v>
      </c>
      <c r="D612" s="3">
        <v>60000</v>
      </c>
      <c r="E612">
        <v>1</v>
      </c>
      <c r="F612" t="s">
        <v>19</v>
      </c>
      <c r="G612" t="s">
        <v>14</v>
      </c>
      <c r="H612" t="s">
        <v>15</v>
      </c>
      <c r="I612">
        <v>1</v>
      </c>
      <c r="J612" t="s">
        <v>22</v>
      </c>
      <c r="K612" t="s">
        <v>32</v>
      </c>
      <c r="L612">
        <v>44</v>
      </c>
      <c r="M612" t="str">
        <f t="shared" si="9"/>
        <v>Middle Age31-54</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Age31-54</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Adolescent0-30</v>
      </c>
      <c r="N614" t="s">
        <v>18</v>
      </c>
    </row>
    <row r="615" spans="1:14" x14ac:dyDescent="0.3">
      <c r="A615">
        <v>25184</v>
      </c>
      <c r="B615" t="s">
        <v>37</v>
      </c>
      <c r="C615" t="s">
        <v>40</v>
      </c>
      <c r="D615" s="3">
        <v>110000</v>
      </c>
      <c r="E615">
        <v>1</v>
      </c>
      <c r="F615" t="s">
        <v>19</v>
      </c>
      <c r="G615" t="s">
        <v>21</v>
      </c>
      <c r="H615" t="s">
        <v>15</v>
      </c>
      <c r="I615">
        <v>4</v>
      </c>
      <c r="J615" t="s">
        <v>23</v>
      </c>
      <c r="K615" t="s">
        <v>32</v>
      </c>
      <c r="L615">
        <v>45</v>
      </c>
      <c r="M615" t="str">
        <f t="shared" si="9"/>
        <v>Middle Age31-54</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Age31-54</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Age31-54</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Age31-54</v>
      </c>
      <c r="N618" t="s">
        <v>18</v>
      </c>
    </row>
    <row r="619" spans="1:14" x14ac:dyDescent="0.3">
      <c r="A619">
        <v>17858</v>
      </c>
      <c r="B619" t="s">
        <v>36</v>
      </c>
      <c r="C619" t="s">
        <v>40</v>
      </c>
      <c r="D619" s="3">
        <v>40000</v>
      </c>
      <c r="E619">
        <v>4</v>
      </c>
      <c r="F619" t="s">
        <v>27</v>
      </c>
      <c r="G619" t="s">
        <v>14</v>
      </c>
      <c r="H619" t="s">
        <v>15</v>
      </c>
      <c r="I619">
        <v>2</v>
      </c>
      <c r="J619" t="s">
        <v>22</v>
      </c>
      <c r="K619" t="s">
        <v>32</v>
      </c>
      <c r="L619">
        <v>44</v>
      </c>
      <c r="M619" t="str">
        <f t="shared" si="9"/>
        <v>Middle Age31-54</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Age31-54</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Adolescent0-30</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Age31-54</v>
      </c>
      <c r="N622" t="s">
        <v>15</v>
      </c>
    </row>
    <row r="623" spans="1:14" x14ac:dyDescent="0.3">
      <c r="A623">
        <v>11200</v>
      </c>
      <c r="B623" t="s">
        <v>36</v>
      </c>
      <c r="C623" t="s">
        <v>40</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40</v>
      </c>
      <c r="D624" s="3">
        <v>60000</v>
      </c>
      <c r="E624">
        <v>5</v>
      </c>
      <c r="F624" t="s">
        <v>13</v>
      </c>
      <c r="G624" t="s">
        <v>21</v>
      </c>
      <c r="H624" t="s">
        <v>15</v>
      </c>
      <c r="I624">
        <v>1</v>
      </c>
      <c r="J624" t="s">
        <v>22</v>
      </c>
      <c r="K624" t="s">
        <v>32</v>
      </c>
      <c r="L624">
        <v>47</v>
      </c>
      <c r="M624" t="str">
        <f t="shared" si="9"/>
        <v>Middle Age31-54</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Age31-54</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Adolescent0-30</v>
      </c>
      <c r="N626" t="s">
        <v>15</v>
      </c>
    </row>
    <row r="627" spans="1:14" x14ac:dyDescent="0.3">
      <c r="A627">
        <v>22127</v>
      </c>
      <c r="B627" t="s">
        <v>36</v>
      </c>
      <c r="C627" t="s">
        <v>40</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Adolescent0-30</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40</v>
      </c>
      <c r="D630" s="3">
        <v>80000</v>
      </c>
      <c r="E630">
        <v>3</v>
      </c>
      <c r="F630" t="s">
        <v>19</v>
      </c>
      <c r="G630" t="s">
        <v>21</v>
      </c>
      <c r="H630" t="s">
        <v>18</v>
      </c>
      <c r="I630">
        <v>1</v>
      </c>
      <c r="J630" t="s">
        <v>26</v>
      </c>
      <c r="K630" t="s">
        <v>32</v>
      </c>
      <c r="L630">
        <v>51</v>
      </c>
      <c r="M630" t="str">
        <f t="shared" si="9"/>
        <v>Middle Age31-54</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Age31-54</v>
      </c>
      <c r="N631" t="s">
        <v>18</v>
      </c>
    </row>
    <row r="632" spans="1:14" x14ac:dyDescent="0.3">
      <c r="A632">
        <v>27753</v>
      </c>
      <c r="B632" t="s">
        <v>36</v>
      </c>
      <c r="C632" t="s">
        <v>40</v>
      </c>
      <c r="D632" s="3">
        <v>40000</v>
      </c>
      <c r="E632">
        <v>0</v>
      </c>
      <c r="F632" t="s">
        <v>27</v>
      </c>
      <c r="G632" t="s">
        <v>14</v>
      </c>
      <c r="H632" t="s">
        <v>18</v>
      </c>
      <c r="I632">
        <v>2</v>
      </c>
      <c r="J632" t="s">
        <v>26</v>
      </c>
      <c r="K632" t="s">
        <v>32</v>
      </c>
      <c r="L632">
        <v>30</v>
      </c>
      <c r="M632" t="str">
        <f t="shared" si="9"/>
        <v>Adolescent0-30</v>
      </c>
      <c r="N632" t="s">
        <v>18</v>
      </c>
    </row>
    <row r="633" spans="1:14" x14ac:dyDescent="0.3">
      <c r="A633">
        <v>27643</v>
      </c>
      <c r="B633" t="s">
        <v>37</v>
      </c>
      <c r="C633" t="s">
        <v>40</v>
      </c>
      <c r="D633" s="3">
        <v>70000</v>
      </c>
      <c r="E633">
        <v>5</v>
      </c>
      <c r="F633" t="s">
        <v>19</v>
      </c>
      <c r="G633" t="s">
        <v>21</v>
      </c>
      <c r="H633" t="s">
        <v>15</v>
      </c>
      <c r="I633">
        <v>3</v>
      </c>
      <c r="J633" t="s">
        <v>22</v>
      </c>
      <c r="K633" t="s">
        <v>32</v>
      </c>
      <c r="L633">
        <v>44</v>
      </c>
      <c r="M633" t="str">
        <f t="shared" si="9"/>
        <v>Middle Age31-54</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Age31-54</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Age31-54</v>
      </c>
      <c r="N635" t="s">
        <v>15</v>
      </c>
    </row>
    <row r="636" spans="1:14" x14ac:dyDescent="0.3">
      <c r="A636">
        <v>27388</v>
      </c>
      <c r="B636" t="s">
        <v>36</v>
      </c>
      <c r="C636" t="s">
        <v>40</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Age31-54</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Age31-54</v>
      </c>
      <c r="N638" t="s">
        <v>15</v>
      </c>
    </row>
    <row r="639" spans="1:14" x14ac:dyDescent="0.3">
      <c r="A639">
        <v>15272</v>
      </c>
      <c r="B639" t="s">
        <v>37</v>
      </c>
      <c r="C639" t="s">
        <v>40</v>
      </c>
      <c r="D639" s="3">
        <v>40000</v>
      </c>
      <c r="E639">
        <v>0</v>
      </c>
      <c r="F639" t="s">
        <v>27</v>
      </c>
      <c r="G639" t="s">
        <v>14</v>
      </c>
      <c r="H639" t="s">
        <v>18</v>
      </c>
      <c r="I639">
        <v>2</v>
      </c>
      <c r="J639" t="s">
        <v>26</v>
      </c>
      <c r="K639" t="s">
        <v>32</v>
      </c>
      <c r="L639">
        <v>30</v>
      </c>
      <c r="M639" t="str">
        <f t="shared" si="9"/>
        <v>Adolescent0-30</v>
      </c>
      <c r="N639" t="s">
        <v>18</v>
      </c>
    </row>
    <row r="640" spans="1:14" x14ac:dyDescent="0.3">
      <c r="A640">
        <v>18949</v>
      </c>
      <c r="B640" t="s">
        <v>37</v>
      </c>
      <c r="C640" t="s">
        <v>40</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40</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40</v>
      </c>
      <c r="D643" s="3">
        <v>50000</v>
      </c>
      <c r="E643">
        <v>4</v>
      </c>
      <c r="F643" t="s">
        <v>13</v>
      </c>
      <c r="G643" t="s">
        <v>28</v>
      </c>
      <c r="H643" t="s">
        <v>15</v>
      </c>
      <c r="I643">
        <v>2</v>
      </c>
      <c r="J643" t="s">
        <v>44</v>
      </c>
      <c r="K643" t="s">
        <v>32</v>
      </c>
      <c r="L643">
        <v>64</v>
      </c>
      <c r="M643" t="str">
        <f t="shared" ref="M643:M706" si="10">IF(L643&gt;55, "Old 55+", IF(L643&gt;=31, "Middle Age31-54",IF(L643&lt;31,"Adolescent0-30","Invalid")))</f>
        <v>Old 55+</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Age31-54</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Age31-54</v>
      </c>
      <c r="N645" t="s">
        <v>15</v>
      </c>
    </row>
    <row r="646" spans="1:14" x14ac:dyDescent="0.3">
      <c r="A646">
        <v>23368</v>
      </c>
      <c r="B646" t="s">
        <v>36</v>
      </c>
      <c r="C646" t="s">
        <v>39</v>
      </c>
      <c r="D646" s="3">
        <v>60000</v>
      </c>
      <c r="E646">
        <v>5</v>
      </c>
      <c r="F646" t="s">
        <v>13</v>
      </c>
      <c r="G646" t="s">
        <v>14</v>
      </c>
      <c r="H646" t="s">
        <v>15</v>
      </c>
      <c r="I646">
        <v>3</v>
      </c>
      <c r="J646" t="s">
        <v>44</v>
      </c>
      <c r="K646" t="s">
        <v>32</v>
      </c>
      <c r="L646">
        <v>41</v>
      </c>
      <c r="M646" t="str">
        <f t="shared" si="10"/>
        <v>Middle Age31-54</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Age31-54</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Age31-54</v>
      </c>
      <c r="N648" t="s">
        <v>18</v>
      </c>
    </row>
    <row r="649" spans="1:14" x14ac:dyDescent="0.3">
      <c r="A649">
        <v>22010</v>
      </c>
      <c r="B649" t="s">
        <v>37</v>
      </c>
      <c r="C649" t="s">
        <v>40</v>
      </c>
      <c r="D649" s="3">
        <v>40000</v>
      </c>
      <c r="E649">
        <v>0</v>
      </c>
      <c r="F649" t="s">
        <v>27</v>
      </c>
      <c r="G649" t="s">
        <v>14</v>
      </c>
      <c r="H649" t="s">
        <v>15</v>
      </c>
      <c r="I649">
        <v>2</v>
      </c>
      <c r="J649" t="s">
        <v>23</v>
      </c>
      <c r="K649" t="s">
        <v>32</v>
      </c>
      <c r="L649">
        <v>31</v>
      </c>
      <c r="M649" t="str">
        <f t="shared" si="10"/>
        <v>Middle Age31-54</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Age31-54</v>
      </c>
      <c r="N651" t="s">
        <v>15</v>
      </c>
    </row>
    <row r="652" spans="1:14" x14ac:dyDescent="0.3">
      <c r="A652">
        <v>18435</v>
      </c>
      <c r="B652" t="s">
        <v>37</v>
      </c>
      <c r="C652" t="s">
        <v>39</v>
      </c>
      <c r="D652" s="3">
        <v>70000</v>
      </c>
      <c r="E652">
        <v>5</v>
      </c>
      <c r="F652" t="s">
        <v>31</v>
      </c>
      <c r="G652" t="s">
        <v>28</v>
      </c>
      <c r="H652" t="s">
        <v>15</v>
      </c>
      <c r="I652">
        <v>2</v>
      </c>
      <c r="J652" t="s">
        <v>44</v>
      </c>
      <c r="K652" t="s">
        <v>32</v>
      </c>
      <c r="L652">
        <v>67</v>
      </c>
      <c r="M652" t="str">
        <f t="shared" si="10"/>
        <v>Old 55+</v>
      </c>
      <c r="N652" t="s">
        <v>15</v>
      </c>
    </row>
    <row r="653" spans="1:14" x14ac:dyDescent="0.3">
      <c r="A653">
        <v>14284</v>
      </c>
      <c r="B653" t="s">
        <v>37</v>
      </c>
      <c r="C653" t="s">
        <v>40</v>
      </c>
      <c r="D653" s="3">
        <v>60000</v>
      </c>
      <c r="E653">
        <v>0</v>
      </c>
      <c r="F653" t="s">
        <v>19</v>
      </c>
      <c r="G653" t="s">
        <v>21</v>
      </c>
      <c r="H653" t="s">
        <v>18</v>
      </c>
      <c r="I653">
        <v>2</v>
      </c>
      <c r="J653" t="s">
        <v>26</v>
      </c>
      <c r="K653" t="s">
        <v>32</v>
      </c>
      <c r="L653">
        <v>32</v>
      </c>
      <c r="M653" t="str">
        <f t="shared" si="10"/>
        <v>Middle Age31-54</v>
      </c>
      <c r="N653" t="s">
        <v>15</v>
      </c>
    </row>
    <row r="654" spans="1:14" x14ac:dyDescent="0.3">
      <c r="A654">
        <v>11287</v>
      </c>
      <c r="B654" t="s">
        <v>36</v>
      </c>
      <c r="C654" t="s">
        <v>40</v>
      </c>
      <c r="D654" s="3">
        <v>70000</v>
      </c>
      <c r="E654">
        <v>5</v>
      </c>
      <c r="F654" t="s">
        <v>19</v>
      </c>
      <c r="G654" t="s">
        <v>21</v>
      </c>
      <c r="H654" t="s">
        <v>18</v>
      </c>
      <c r="I654">
        <v>3</v>
      </c>
      <c r="J654" t="s">
        <v>23</v>
      </c>
      <c r="K654" t="s">
        <v>32</v>
      </c>
      <c r="L654">
        <v>45</v>
      </c>
      <c r="M654" t="str">
        <f t="shared" si="10"/>
        <v>Middle Age31-54</v>
      </c>
      <c r="N654" t="s">
        <v>18</v>
      </c>
    </row>
    <row r="655" spans="1:14" x14ac:dyDescent="0.3">
      <c r="A655">
        <v>13066</v>
      </c>
      <c r="B655" t="s">
        <v>37</v>
      </c>
      <c r="C655" t="s">
        <v>40</v>
      </c>
      <c r="D655" s="3">
        <v>30000</v>
      </c>
      <c r="E655">
        <v>0</v>
      </c>
      <c r="F655" t="s">
        <v>27</v>
      </c>
      <c r="G655" t="s">
        <v>14</v>
      </c>
      <c r="H655" t="s">
        <v>18</v>
      </c>
      <c r="I655">
        <v>2</v>
      </c>
      <c r="J655" t="s">
        <v>26</v>
      </c>
      <c r="K655" t="s">
        <v>32</v>
      </c>
      <c r="L655">
        <v>31</v>
      </c>
      <c r="M655" t="str">
        <f t="shared" si="10"/>
        <v>Middle Age31-54</v>
      </c>
      <c r="N655" t="s">
        <v>15</v>
      </c>
    </row>
    <row r="656" spans="1:14" x14ac:dyDescent="0.3">
      <c r="A656">
        <v>29106</v>
      </c>
      <c r="B656" t="s">
        <v>37</v>
      </c>
      <c r="C656" t="s">
        <v>40</v>
      </c>
      <c r="D656" s="3">
        <v>40000</v>
      </c>
      <c r="E656">
        <v>0</v>
      </c>
      <c r="F656" t="s">
        <v>27</v>
      </c>
      <c r="G656" t="s">
        <v>14</v>
      </c>
      <c r="H656" t="s">
        <v>18</v>
      </c>
      <c r="I656">
        <v>2</v>
      </c>
      <c r="J656" t="s">
        <v>26</v>
      </c>
      <c r="K656" t="s">
        <v>32</v>
      </c>
      <c r="L656">
        <v>31</v>
      </c>
      <c r="M656" t="str">
        <f t="shared" si="10"/>
        <v>Middle Age31-54</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Age31-54</v>
      </c>
      <c r="N657" t="s">
        <v>18</v>
      </c>
    </row>
    <row r="658" spans="1:14" x14ac:dyDescent="0.3">
      <c r="A658">
        <v>17531</v>
      </c>
      <c r="B658" t="s">
        <v>36</v>
      </c>
      <c r="C658" t="s">
        <v>40</v>
      </c>
      <c r="D658" s="3">
        <v>60000</v>
      </c>
      <c r="E658">
        <v>2</v>
      </c>
      <c r="F658" t="s">
        <v>27</v>
      </c>
      <c r="G658" t="s">
        <v>21</v>
      </c>
      <c r="H658" t="s">
        <v>18</v>
      </c>
      <c r="I658">
        <v>2</v>
      </c>
      <c r="J658" t="s">
        <v>23</v>
      </c>
      <c r="K658" t="s">
        <v>32</v>
      </c>
      <c r="L658">
        <v>50</v>
      </c>
      <c r="M658" t="str">
        <f t="shared" si="10"/>
        <v>Middle Age31-54</v>
      </c>
      <c r="N658" t="s">
        <v>18</v>
      </c>
    </row>
    <row r="659" spans="1:14" x14ac:dyDescent="0.3">
      <c r="A659">
        <v>12964</v>
      </c>
      <c r="B659" t="s">
        <v>36</v>
      </c>
      <c r="C659" t="s">
        <v>40</v>
      </c>
      <c r="D659" s="3">
        <v>70000</v>
      </c>
      <c r="E659">
        <v>1</v>
      </c>
      <c r="F659" t="s">
        <v>19</v>
      </c>
      <c r="G659" t="s">
        <v>14</v>
      </c>
      <c r="H659" t="s">
        <v>15</v>
      </c>
      <c r="I659">
        <v>1</v>
      </c>
      <c r="J659" t="s">
        <v>16</v>
      </c>
      <c r="K659" t="s">
        <v>32</v>
      </c>
      <c r="L659">
        <v>44</v>
      </c>
      <c r="M659" t="str">
        <f t="shared" si="10"/>
        <v>Middle Age31-54</v>
      </c>
      <c r="N659" t="s">
        <v>18</v>
      </c>
    </row>
    <row r="660" spans="1:14" x14ac:dyDescent="0.3">
      <c r="A660">
        <v>19133</v>
      </c>
      <c r="B660" t="s">
        <v>37</v>
      </c>
      <c r="C660" t="s">
        <v>40</v>
      </c>
      <c r="D660" s="3">
        <v>50000</v>
      </c>
      <c r="E660">
        <v>2</v>
      </c>
      <c r="F660" t="s">
        <v>13</v>
      </c>
      <c r="G660" t="s">
        <v>14</v>
      </c>
      <c r="H660" t="s">
        <v>15</v>
      </c>
      <c r="I660">
        <v>1</v>
      </c>
      <c r="J660" t="s">
        <v>22</v>
      </c>
      <c r="K660" t="s">
        <v>32</v>
      </c>
      <c r="L660">
        <v>38</v>
      </c>
      <c r="M660" t="str">
        <f t="shared" si="10"/>
        <v>Middle Age31-54</v>
      </c>
      <c r="N660" t="s">
        <v>15</v>
      </c>
    </row>
    <row r="661" spans="1:14" x14ac:dyDescent="0.3">
      <c r="A661">
        <v>24643</v>
      </c>
      <c r="B661" t="s">
        <v>37</v>
      </c>
      <c r="C661" t="s">
        <v>39</v>
      </c>
      <c r="D661" s="3">
        <v>60000</v>
      </c>
      <c r="E661">
        <v>4</v>
      </c>
      <c r="F661" t="s">
        <v>13</v>
      </c>
      <c r="G661" t="s">
        <v>28</v>
      </c>
      <c r="H661" t="s">
        <v>15</v>
      </c>
      <c r="I661">
        <v>2</v>
      </c>
      <c r="J661" t="s">
        <v>44</v>
      </c>
      <c r="K661" t="s">
        <v>32</v>
      </c>
      <c r="L661">
        <v>63</v>
      </c>
      <c r="M661" t="str">
        <f t="shared" si="10"/>
        <v>Old 55+</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Age31-54</v>
      </c>
      <c r="N662" t="s">
        <v>15</v>
      </c>
    </row>
    <row r="663" spans="1:14" x14ac:dyDescent="0.3">
      <c r="A663">
        <v>22976</v>
      </c>
      <c r="B663" t="s">
        <v>37</v>
      </c>
      <c r="C663" t="s">
        <v>40</v>
      </c>
      <c r="D663" s="3">
        <v>40000</v>
      </c>
      <c r="E663">
        <v>0</v>
      </c>
      <c r="F663" t="s">
        <v>27</v>
      </c>
      <c r="G663" t="s">
        <v>14</v>
      </c>
      <c r="H663" t="s">
        <v>18</v>
      </c>
      <c r="I663">
        <v>2</v>
      </c>
      <c r="J663" t="s">
        <v>16</v>
      </c>
      <c r="K663" t="s">
        <v>32</v>
      </c>
      <c r="L663">
        <v>28</v>
      </c>
      <c r="M663" t="str">
        <f t="shared" si="10"/>
        <v>Adolescent0-30</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Age31-54</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Age31-54</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Age31-54</v>
      </c>
      <c r="N666" t="s">
        <v>15</v>
      </c>
    </row>
    <row r="667" spans="1:14" x14ac:dyDescent="0.3">
      <c r="A667">
        <v>14443</v>
      </c>
      <c r="B667" t="s">
        <v>36</v>
      </c>
      <c r="C667" t="s">
        <v>40</v>
      </c>
      <c r="D667" s="3">
        <v>130000</v>
      </c>
      <c r="E667">
        <v>1</v>
      </c>
      <c r="F667" t="s">
        <v>31</v>
      </c>
      <c r="G667" t="s">
        <v>28</v>
      </c>
      <c r="H667" t="s">
        <v>15</v>
      </c>
      <c r="I667">
        <v>4</v>
      </c>
      <c r="J667" t="s">
        <v>16</v>
      </c>
      <c r="K667" t="s">
        <v>32</v>
      </c>
      <c r="L667">
        <v>40</v>
      </c>
      <c r="M667" t="str">
        <f t="shared" si="10"/>
        <v>Middle Age31-54</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Age31-54</v>
      </c>
      <c r="N668" t="s">
        <v>15</v>
      </c>
    </row>
    <row r="669" spans="1:14" x14ac:dyDescent="0.3">
      <c r="A669">
        <v>20505</v>
      </c>
      <c r="B669" t="s">
        <v>36</v>
      </c>
      <c r="C669" t="s">
        <v>39</v>
      </c>
      <c r="D669" s="3">
        <v>40000</v>
      </c>
      <c r="E669">
        <v>5</v>
      </c>
      <c r="F669" t="s">
        <v>27</v>
      </c>
      <c r="G669" t="s">
        <v>21</v>
      </c>
      <c r="H669" t="s">
        <v>18</v>
      </c>
      <c r="I669">
        <v>2</v>
      </c>
      <c r="J669" t="s">
        <v>44</v>
      </c>
      <c r="K669" t="s">
        <v>32</v>
      </c>
      <c r="L669">
        <v>61</v>
      </c>
      <c r="M669" t="str">
        <f t="shared" si="10"/>
        <v>Old 55+</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Age31-54</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Age31-54</v>
      </c>
      <c r="N671" t="s">
        <v>18</v>
      </c>
    </row>
    <row r="672" spans="1:14" x14ac:dyDescent="0.3">
      <c r="A672">
        <v>21471</v>
      </c>
      <c r="B672" t="s">
        <v>36</v>
      </c>
      <c r="C672" t="s">
        <v>40</v>
      </c>
      <c r="D672" s="3">
        <v>70000</v>
      </c>
      <c r="E672">
        <v>2</v>
      </c>
      <c r="F672" t="s">
        <v>19</v>
      </c>
      <c r="G672" t="s">
        <v>21</v>
      </c>
      <c r="H672" t="s">
        <v>15</v>
      </c>
      <c r="I672">
        <v>1</v>
      </c>
      <c r="J672" t="s">
        <v>44</v>
      </c>
      <c r="K672" t="s">
        <v>32</v>
      </c>
      <c r="L672">
        <v>59</v>
      </c>
      <c r="M672" t="str">
        <f t="shared" si="10"/>
        <v>Old 55+</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Age31-54</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Adolescent0-30</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Age31-54</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Age31-54</v>
      </c>
      <c r="N676" t="s">
        <v>18</v>
      </c>
    </row>
    <row r="677" spans="1:14" x14ac:dyDescent="0.3">
      <c r="A677">
        <v>18517</v>
      </c>
      <c r="B677" t="s">
        <v>36</v>
      </c>
      <c r="C677" t="s">
        <v>40</v>
      </c>
      <c r="D677" s="3">
        <v>100000</v>
      </c>
      <c r="E677">
        <v>3</v>
      </c>
      <c r="F677" t="s">
        <v>13</v>
      </c>
      <c r="G677" t="s">
        <v>28</v>
      </c>
      <c r="H677" t="s">
        <v>15</v>
      </c>
      <c r="I677">
        <v>4</v>
      </c>
      <c r="J677" t="s">
        <v>16</v>
      </c>
      <c r="K677" t="s">
        <v>32</v>
      </c>
      <c r="L677">
        <v>41</v>
      </c>
      <c r="M677" t="str">
        <f t="shared" si="10"/>
        <v>Middle Age31-54</v>
      </c>
      <c r="N677" t="s">
        <v>18</v>
      </c>
    </row>
    <row r="678" spans="1:14" x14ac:dyDescent="0.3">
      <c r="A678">
        <v>21717</v>
      </c>
      <c r="B678" t="s">
        <v>36</v>
      </c>
      <c r="C678" t="s">
        <v>40</v>
      </c>
      <c r="D678" s="3">
        <v>40000</v>
      </c>
      <c r="E678">
        <v>2</v>
      </c>
      <c r="F678" t="s">
        <v>19</v>
      </c>
      <c r="G678" t="s">
        <v>20</v>
      </c>
      <c r="H678" t="s">
        <v>15</v>
      </c>
      <c r="I678">
        <v>1</v>
      </c>
      <c r="J678" t="s">
        <v>16</v>
      </c>
      <c r="K678" t="s">
        <v>32</v>
      </c>
      <c r="L678">
        <v>47</v>
      </c>
      <c r="M678" t="str">
        <f t="shared" si="10"/>
        <v>Middle Age31-54</v>
      </c>
      <c r="N678" t="s">
        <v>18</v>
      </c>
    </row>
    <row r="679" spans="1:14" x14ac:dyDescent="0.3">
      <c r="A679">
        <v>13760</v>
      </c>
      <c r="B679" t="s">
        <v>36</v>
      </c>
      <c r="C679" t="s">
        <v>40</v>
      </c>
      <c r="D679" s="3">
        <v>60000</v>
      </c>
      <c r="E679">
        <v>4</v>
      </c>
      <c r="F679" t="s">
        <v>31</v>
      </c>
      <c r="G679" t="s">
        <v>14</v>
      </c>
      <c r="H679" t="s">
        <v>18</v>
      </c>
      <c r="I679">
        <v>0</v>
      </c>
      <c r="J679" t="s">
        <v>16</v>
      </c>
      <c r="K679" t="s">
        <v>32</v>
      </c>
      <c r="L679">
        <v>47</v>
      </c>
      <c r="M679" t="str">
        <f t="shared" si="10"/>
        <v>Middle Age31-54</v>
      </c>
      <c r="N679" t="s">
        <v>18</v>
      </c>
    </row>
    <row r="680" spans="1:14" x14ac:dyDescent="0.3">
      <c r="A680">
        <v>18145</v>
      </c>
      <c r="B680" t="s">
        <v>36</v>
      </c>
      <c r="C680" t="s">
        <v>40</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40</v>
      </c>
      <c r="D681" s="3">
        <v>60000</v>
      </c>
      <c r="E681">
        <v>4</v>
      </c>
      <c r="F681" t="s">
        <v>13</v>
      </c>
      <c r="G681" t="s">
        <v>28</v>
      </c>
      <c r="H681" t="s">
        <v>15</v>
      </c>
      <c r="I681">
        <v>2</v>
      </c>
      <c r="J681" t="s">
        <v>44</v>
      </c>
      <c r="K681" t="s">
        <v>32</v>
      </c>
      <c r="L681">
        <v>60</v>
      </c>
      <c r="M681" t="str">
        <f t="shared" si="10"/>
        <v>Old 55+</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Age31-54</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Age31-54</v>
      </c>
      <c r="N683" t="s">
        <v>18</v>
      </c>
    </row>
    <row r="684" spans="1:14" x14ac:dyDescent="0.3">
      <c r="A684">
        <v>26248</v>
      </c>
      <c r="B684" t="s">
        <v>36</v>
      </c>
      <c r="C684" t="s">
        <v>40</v>
      </c>
      <c r="D684" s="3">
        <v>20000</v>
      </c>
      <c r="E684">
        <v>3</v>
      </c>
      <c r="F684" t="s">
        <v>29</v>
      </c>
      <c r="G684" t="s">
        <v>20</v>
      </c>
      <c r="H684" t="s">
        <v>18</v>
      </c>
      <c r="I684">
        <v>2</v>
      </c>
      <c r="J684" t="s">
        <v>16</v>
      </c>
      <c r="K684" t="s">
        <v>32</v>
      </c>
      <c r="L684">
        <v>52</v>
      </c>
      <c r="M684" t="str">
        <f t="shared" si="10"/>
        <v>Middle Age31-54</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Age31-54</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Age31-54</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Age31-54</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Age31-54</v>
      </c>
      <c r="N688" t="s">
        <v>15</v>
      </c>
    </row>
    <row r="689" spans="1:14" x14ac:dyDescent="0.3">
      <c r="A689">
        <v>18910</v>
      </c>
      <c r="B689" t="s">
        <v>37</v>
      </c>
      <c r="C689" t="s">
        <v>40</v>
      </c>
      <c r="D689" s="3">
        <v>30000</v>
      </c>
      <c r="E689">
        <v>0</v>
      </c>
      <c r="F689" t="s">
        <v>19</v>
      </c>
      <c r="G689" t="s">
        <v>14</v>
      </c>
      <c r="H689" t="s">
        <v>15</v>
      </c>
      <c r="I689">
        <v>2</v>
      </c>
      <c r="J689" t="s">
        <v>23</v>
      </c>
      <c r="K689" t="s">
        <v>32</v>
      </c>
      <c r="L689">
        <v>30</v>
      </c>
      <c r="M689" t="str">
        <f t="shared" si="10"/>
        <v>Adolescent0-30</v>
      </c>
      <c r="N689" t="s">
        <v>18</v>
      </c>
    </row>
    <row r="690" spans="1:14" x14ac:dyDescent="0.3">
      <c r="A690">
        <v>11699</v>
      </c>
      <c r="B690" t="s">
        <v>37</v>
      </c>
      <c r="C690" t="s">
        <v>40</v>
      </c>
      <c r="D690" s="3">
        <v>60000</v>
      </c>
      <c r="E690">
        <v>0</v>
      </c>
      <c r="F690" t="s">
        <v>13</v>
      </c>
      <c r="G690" t="s">
        <v>14</v>
      </c>
      <c r="H690" t="s">
        <v>18</v>
      </c>
      <c r="I690">
        <v>2</v>
      </c>
      <c r="J690" t="s">
        <v>16</v>
      </c>
      <c r="K690" t="s">
        <v>32</v>
      </c>
      <c r="L690">
        <v>30</v>
      </c>
      <c r="M690" t="str">
        <f t="shared" si="10"/>
        <v>Adolescent0-30</v>
      </c>
      <c r="N690" t="s">
        <v>18</v>
      </c>
    </row>
    <row r="691" spans="1:14" x14ac:dyDescent="0.3">
      <c r="A691">
        <v>16725</v>
      </c>
      <c r="B691" t="s">
        <v>36</v>
      </c>
      <c r="C691" t="s">
        <v>40</v>
      </c>
      <c r="D691" s="3">
        <v>30000</v>
      </c>
      <c r="E691">
        <v>0</v>
      </c>
      <c r="F691" t="s">
        <v>27</v>
      </c>
      <c r="G691" t="s">
        <v>14</v>
      </c>
      <c r="H691" t="s">
        <v>15</v>
      </c>
      <c r="I691">
        <v>2</v>
      </c>
      <c r="J691" t="s">
        <v>23</v>
      </c>
      <c r="K691" t="s">
        <v>32</v>
      </c>
      <c r="L691">
        <v>26</v>
      </c>
      <c r="M691" t="str">
        <f t="shared" si="10"/>
        <v>Adolescent0-30</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Age31-54</v>
      </c>
      <c r="N692" t="s">
        <v>18</v>
      </c>
    </row>
    <row r="693" spans="1:14" x14ac:dyDescent="0.3">
      <c r="A693">
        <v>23144</v>
      </c>
      <c r="B693" t="s">
        <v>36</v>
      </c>
      <c r="C693" t="s">
        <v>40</v>
      </c>
      <c r="D693" s="3">
        <v>50000</v>
      </c>
      <c r="E693">
        <v>1</v>
      </c>
      <c r="F693" t="s">
        <v>13</v>
      </c>
      <c r="G693" t="s">
        <v>14</v>
      </c>
      <c r="H693" t="s">
        <v>15</v>
      </c>
      <c r="I693">
        <v>0</v>
      </c>
      <c r="J693" t="s">
        <v>16</v>
      </c>
      <c r="K693" t="s">
        <v>32</v>
      </c>
      <c r="L693">
        <v>34</v>
      </c>
      <c r="M693" t="str">
        <f t="shared" si="10"/>
        <v>Middle Age31-54</v>
      </c>
      <c r="N693" t="s">
        <v>15</v>
      </c>
    </row>
    <row r="694" spans="1:14" x14ac:dyDescent="0.3">
      <c r="A694">
        <v>23376</v>
      </c>
      <c r="B694" t="s">
        <v>36</v>
      </c>
      <c r="C694" t="s">
        <v>40</v>
      </c>
      <c r="D694" s="3">
        <v>70000</v>
      </c>
      <c r="E694">
        <v>1</v>
      </c>
      <c r="F694" t="s">
        <v>13</v>
      </c>
      <c r="G694" t="s">
        <v>21</v>
      </c>
      <c r="H694" t="s">
        <v>15</v>
      </c>
      <c r="I694">
        <v>1</v>
      </c>
      <c r="J694" t="s">
        <v>22</v>
      </c>
      <c r="K694" t="s">
        <v>32</v>
      </c>
      <c r="L694">
        <v>44</v>
      </c>
      <c r="M694" t="str">
        <f t="shared" si="10"/>
        <v>Middle Age31-54</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Age31-54</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Age31-54</v>
      </c>
      <c r="N696" t="s">
        <v>15</v>
      </c>
    </row>
    <row r="697" spans="1:14" x14ac:dyDescent="0.3">
      <c r="A697">
        <v>18390</v>
      </c>
      <c r="B697" t="s">
        <v>36</v>
      </c>
      <c r="C697" t="s">
        <v>40</v>
      </c>
      <c r="D697" s="3">
        <v>80000</v>
      </c>
      <c r="E697">
        <v>5</v>
      </c>
      <c r="F697" t="s">
        <v>19</v>
      </c>
      <c r="G697" t="s">
        <v>21</v>
      </c>
      <c r="H697" t="s">
        <v>15</v>
      </c>
      <c r="I697">
        <v>2</v>
      </c>
      <c r="J697" t="s">
        <v>16</v>
      </c>
      <c r="K697" t="s">
        <v>32</v>
      </c>
      <c r="L697">
        <v>44</v>
      </c>
      <c r="M697" t="str">
        <f t="shared" si="10"/>
        <v>Middle Age31-54</v>
      </c>
      <c r="N697" t="s">
        <v>18</v>
      </c>
    </row>
    <row r="698" spans="1:14" x14ac:dyDescent="0.3">
      <c r="A698">
        <v>29112</v>
      </c>
      <c r="B698" t="s">
        <v>37</v>
      </c>
      <c r="C698" t="s">
        <v>40</v>
      </c>
      <c r="D698" s="3">
        <v>60000</v>
      </c>
      <c r="E698">
        <v>0</v>
      </c>
      <c r="F698" t="s">
        <v>19</v>
      </c>
      <c r="G698" t="s">
        <v>21</v>
      </c>
      <c r="H698" t="s">
        <v>18</v>
      </c>
      <c r="I698">
        <v>2</v>
      </c>
      <c r="J698" t="s">
        <v>26</v>
      </c>
      <c r="K698" t="s">
        <v>32</v>
      </c>
      <c r="L698">
        <v>30</v>
      </c>
      <c r="M698" t="str">
        <f t="shared" si="10"/>
        <v>Adolescent0-30</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Adolescent0-30</v>
      </c>
      <c r="N699" t="s">
        <v>18</v>
      </c>
    </row>
    <row r="700" spans="1:14" x14ac:dyDescent="0.3">
      <c r="A700">
        <v>27040</v>
      </c>
      <c r="B700" t="s">
        <v>36</v>
      </c>
      <c r="C700" t="s">
        <v>40</v>
      </c>
      <c r="D700" s="3">
        <v>20000</v>
      </c>
      <c r="E700">
        <v>2</v>
      </c>
      <c r="F700" t="s">
        <v>29</v>
      </c>
      <c r="G700" t="s">
        <v>20</v>
      </c>
      <c r="H700" t="s">
        <v>15</v>
      </c>
      <c r="I700">
        <v>2</v>
      </c>
      <c r="J700" t="s">
        <v>26</v>
      </c>
      <c r="K700" t="s">
        <v>32</v>
      </c>
      <c r="L700">
        <v>49</v>
      </c>
      <c r="M700" t="str">
        <f t="shared" si="10"/>
        <v>Middle Age31-54</v>
      </c>
      <c r="N700" t="s">
        <v>18</v>
      </c>
    </row>
    <row r="701" spans="1:14" x14ac:dyDescent="0.3">
      <c r="A701">
        <v>23479</v>
      </c>
      <c r="B701" t="s">
        <v>37</v>
      </c>
      <c r="C701" t="s">
        <v>40</v>
      </c>
      <c r="D701" s="3">
        <v>90000</v>
      </c>
      <c r="E701">
        <v>0</v>
      </c>
      <c r="F701" t="s">
        <v>19</v>
      </c>
      <c r="G701" t="s">
        <v>21</v>
      </c>
      <c r="H701" t="s">
        <v>18</v>
      </c>
      <c r="I701">
        <v>2</v>
      </c>
      <c r="J701" t="s">
        <v>16</v>
      </c>
      <c r="K701" t="s">
        <v>32</v>
      </c>
      <c r="L701">
        <v>43</v>
      </c>
      <c r="M701" t="str">
        <f t="shared" si="10"/>
        <v>Middle Age31-54</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40</v>
      </c>
      <c r="D703" s="3">
        <v>30000</v>
      </c>
      <c r="E703">
        <v>0</v>
      </c>
      <c r="F703" t="s">
        <v>27</v>
      </c>
      <c r="G703" t="s">
        <v>14</v>
      </c>
      <c r="H703" t="s">
        <v>15</v>
      </c>
      <c r="I703">
        <v>2</v>
      </c>
      <c r="J703" t="s">
        <v>23</v>
      </c>
      <c r="K703" t="s">
        <v>32</v>
      </c>
      <c r="L703">
        <v>26</v>
      </c>
      <c r="M703" t="str">
        <f t="shared" si="10"/>
        <v>Adolescent0-30</v>
      </c>
      <c r="N703" t="s">
        <v>18</v>
      </c>
    </row>
    <row r="704" spans="1:14" x14ac:dyDescent="0.3">
      <c r="A704">
        <v>13314</v>
      </c>
      <c r="B704" t="s">
        <v>36</v>
      </c>
      <c r="C704" t="s">
        <v>40</v>
      </c>
      <c r="D704" s="3">
        <v>120000</v>
      </c>
      <c r="E704">
        <v>1</v>
      </c>
      <c r="F704" t="s">
        <v>27</v>
      </c>
      <c r="G704" t="s">
        <v>21</v>
      </c>
      <c r="H704" t="s">
        <v>15</v>
      </c>
      <c r="I704">
        <v>4</v>
      </c>
      <c r="J704" t="s">
        <v>23</v>
      </c>
      <c r="K704" t="s">
        <v>32</v>
      </c>
      <c r="L704">
        <v>46</v>
      </c>
      <c r="M704" t="str">
        <f t="shared" si="10"/>
        <v>Middle Age31-54</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Age31-54</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Age31-54</v>
      </c>
      <c r="N706" t="s">
        <v>15</v>
      </c>
    </row>
    <row r="707" spans="1:14" x14ac:dyDescent="0.3">
      <c r="A707">
        <v>11199</v>
      </c>
      <c r="B707" t="s">
        <v>36</v>
      </c>
      <c r="C707" t="s">
        <v>39</v>
      </c>
      <c r="D707" s="3">
        <v>70000</v>
      </c>
      <c r="E707">
        <v>4</v>
      </c>
      <c r="F707" t="s">
        <v>13</v>
      </c>
      <c r="G707" t="s">
        <v>28</v>
      </c>
      <c r="H707" t="s">
        <v>15</v>
      </c>
      <c r="I707">
        <v>1</v>
      </c>
      <c r="J707" t="s">
        <v>44</v>
      </c>
      <c r="K707" t="s">
        <v>32</v>
      </c>
      <c r="L707">
        <v>59</v>
      </c>
      <c r="M707" t="str">
        <f t="shared" ref="M707:M770" si="11">IF(L707&gt;55, "Old 55+", IF(L707&gt;=31, "Middle Age31-54",IF(L707&lt;31,"Adolescent0-30","Invalid")))</f>
        <v>Old 55+</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Age31-54</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Age31-54</v>
      </c>
      <c r="N709" t="s">
        <v>15</v>
      </c>
    </row>
    <row r="710" spans="1:14" x14ac:dyDescent="0.3">
      <c r="A710">
        <v>18069</v>
      </c>
      <c r="B710" t="s">
        <v>36</v>
      </c>
      <c r="C710" t="s">
        <v>40</v>
      </c>
      <c r="D710" s="3">
        <v>70000</v>
      </c>
      <c r="E710">
        <v>5</v>
      </c>
      <c r="F710" t="s">
        <v>13</v>
      </c>
      <c r="G710" t="s">
        <v>28</v>
      </c>
      <c r="H710" t="s">
        <v>15</v>
      </c>
      <c r="I710">
        <v>4</v>
      </c>
      <c r="J710" t="s">
        <v>44</v>
      </c>
      <c r="K710" t="s">
        <v>32</v>
      </c>
      <c r="L710">
        <v>60</v>
      </c>
      <c r="M710" t="str">
        <f t="shared" si="11"/>
        <v>Old 55+</v>
      </c>
      <c r="N710" t="s">
        <v>18</v>
      </c>
    </row>
    <row r="711" spans="1:14" x14ac:dyDescent="0.3">
      <c r="A711">
        <v>23712</v>
      </c>
      <c r="B711" t="s">
        <v>37</v>
      </c>
      <c r="C711" t="s">
        <v>39</v>
      </c>
      <c r="D711" s="3">
        <v>70000</v>
      </c>
      <c r="E711">
        <v>2</v>
      </c>
      <c r="F711" t="s">
        <v>13</v>
      </c>
      <c r="G711" t="s">
        <v>28</v>
      </c>
      <c r="H711" t="s">
        <v>15</v>
      </c>
      <c r="I711">
        <v>1</v>
      </c>
      <c r="J711" t="s">
        <v>44</v>
      </c>
      <c r="K711" t="s">
        <v>32</v>
      </c>
      <c r="L711">
        <v>59</v>
      </c>
      <c r="M711" t="str">
        <f t="shared" si="11"/>
        <v>Old 55+</v>
      </c>
      <c r="N711" t="s">
        <v>18</v>
      </c>
    </row>
    <row r="712" spans="1:14" x14ac:dyDescent="0.3">
      <c r="A712">
        <v>23358</v>
      </c>
      <c r="B712" t="s">
        <v>36</v>
      </c>
      <c r="C712" t="s">
        <v>40</v>
      </c>
      <c r="D712" s="3">
        <v>60000</v>
      </c>
      <c r="E712">
        <v>0</v>
      </c>
      <c r="F712" t="s">
        <v>27</v>
      </c>
      <c r="G712" t="s">
        <v>21</v>
      </c>
      <c r="H712" t="s">
        <v>15</v>
      </c>
      <c r="I712">
        <v>2</v>
      </c>
      <c r="J712" t="s">
        <v>23</v>
      </c>
      <c r="K712" t="s">
        <v>32</v>
      </c>
      <c r="L712">
        <v>32</v>
      </c>
      <c r="M712" t="str">
        <f t="shared" si="11"/>
        <v>Middle Age31-54</v>
      </c>
      <c r="N712" t="s">
        <v>15</v>
      </c>
    </row>
    <row r="713" spans="1:14" x14ac:dyDescent="0.3">
      <c r="A713">
        <v>20518</v>
      </c>
      <c r="B713" t="s">
        <v>36</v>
      </c>
      <c r="C713" t="s">
        <v>39</v>
      </c>
      <c r="D713" s="3">
        <v>70000</v>
      </c>
      <c r="E713">
        <v>2</v>
      </c>
      <c r="F713" t="s">
        <v>19</v>
      </c>
      <c r="G713" t="s">
        <v>21</v>
      </c>
      <c r="H713" t="s">
        <v>15</v>
      </c>
      <c r="I713">
        <v>1</v>
      </c>
      <c r="J713" t="s">
        <v>44</v>
      </c>
      <c r="K713" t="s">
        <v>32</v>
      </c>
      <c r="L713">
        <v>58</v>
      </c>
      <c r="M713" t="str">
        <f t="shared" si="11"/>
        <v>Old 55+</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Age31-54</v>
      </c>
      <c r="N715" t="s">
        <v>18</v>
      </c>
    </row>
    <row r="716" spans="1:14" x14ac:dyDescent="0.3">
      <c r="A716">
        <v>16020</v>
      </c>
      <c r="B716" t="s">
        <v>36</v>
      </c>
      <c r="C716" t="s">
        <v>40</v>
      </c>
      <c r="D716" s="3">
        <v>40000</v>
      </c>
      <c r="E716">
        <v>0</v>
      </c>
      <c r="F716" t="s">
        <v>27</v>
      </c>
      <c r="G716" t="s">
        <v>14</v>
      </c>
      <c r="H716" t="s">
        <v>15</v>
      </c>
      <c r="I716">
        <v>2</v>
      </c>
      <c r="J716" t="s">
        <v>23</v>
      </c>
      <c r="K716" t="s">
        <v>32</v>
      </c>
      <c r="L716">
        <v>28</v>
      </c>
      <c r="M716" t="str">
        <f t="shared" si="11"/>
        <v>Adolescent0-30</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Age31-54</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Age31-54</v>
      </c>
      <c r="N718" t="s">
        <v>18</v>
      </c>
    </row>
    <row r="719" spans="1:14" x14ac:dyDescent="0.3">
      <c r="A719">
        <v>19661</v>
      </c>
      <c r="B719" t="s">
        <v>37</v>
      </c>
      <c r="C719" t="s">
        <v>40</v>
      </c>
      <c r="D719" s="3">
        <v>90000</v>
      </c>
      <c r="E719">
        <v>4</v>
      </c>
      <c r="F719" t="s">
        <v>13</v>
      </c>
      <c r="G719" t="s">
        <v>28</v>
      </c>
      <c r="H719" t="s">
        <v>15</v>
      </c>
      <c r="I719">
        <v>1</v>
      </c>
      <c r="J719" t="s">
        <v>26</v>
      </c>
      <c r="K719" t="s">
        <v>32</v>
      </c>
      <c r="L719">
        <v>38</v>
      </c>
      <c r="M719" t="str">
        <f t="shared" si="11"/>
        <v>Middle Age31-54</v>
      </c>
      <c r="N719" t="s">
        <v>15</v>
      </c>
    </row>
    <row r="720" spans="1:14" x14ac:dyDescent="0.3">
      <c r="A720">
        <v>26327</v>
      </c>
      <c r="B720" t="s">
        <v>36</v>
      </c>
      <c r="C720" t="s">
        <v>40</v>
      </c>
      <c r="D720" s="3">
        <v>70000</v>
      </c>
      <c r="E720">
        <v>4</v>
      </c>
      <c r="F720" t="s">
        <v>31</v>
      </c>
      <c r="G720" t="s">
        <v>21</v>
      </c>
      <c r="H720" t="s">
        <v>15</v>
      </c>
      <c r="I720">
        <v>0</v>
      </c>
      <c r="J720" t="s">
        <v>22</v>
      </c>
      <c r="K720" t="s">
        <v>32</v>
      </c>
      <c r="L720">
        <v>36</v>
      </c>
      <c r="M720" t="str">
        <f t="shared" si="11"/>
        <v>Middle Age31-54</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Age31-54</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40</v>
      </c>
      <c r="D723" s="3">
        <v>110000</v>
      </c>
      <c r="E723">
        <v>4</v>
      </c>
      <c r="F723" t="s">
        <v>13</v>
      </c>
      <c r="G723" t="s">
        <v>28</v>
      </c>
      <c r="H723" t="s">
        <v>15</v>
      </c>
      <c r="I723">
        <v>4</v>
      </c>
      <c r="J723" t="s">
        <v>23</v>
      </c>
      <c r="K723" t="s">
        <v>32</v>
      </c>
      <c r="L723">
        <v>42</v>
      </c>
      <c r="M723" t="str">
        <f t="shared" si="11"/>
        <v>Middle Age31-54</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Age31-54</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Age31-54</v>
      </c>
      <c r="N725" t="s">
        <v>18</v>
      </c>
    </row>
    <row r="726" spans="1:14" x14ac:dyDescent="0.3">
      <c r="A726">
        <v>23275</v>
      </c>
      <c r="B726" t="s">
        <v>36</v>
      </c>
      <c r="C726" t="s">
        <v>40</v>
      </c>
      <c r="D726" s="3">
        <v>30000</v>
      </c>
      <c r="E726">
        <v>2</v>
      </c>
      <c r="F726" t="s">
        <v>27</v>
      </c>
      <c r="G726" t="s">
        <v>14</v>
      </c>
      <c r="H726" t="s">
        <v>15</v>
      </c>
      <c r="I726">
        <v>2</v>
      </c>
      <c r="J726" t="s">
        <v>26</v>
      </c>
      <c r="K726" t="s">
        <v>32</v>
      </c>
      <c r="L726">
        <v>49</v>
      </c>
      <c r="M726" t="str">
        <f t="shared" si="11"/>
        <v>Middle Age31-54</v>
      </c>
      <c r="N726" t="s">
        <v>18</v>
      </c>
    </row>
    <row r="727" spans="1:14" x14ac:dyDescent="0.3">
      <c r="A727">
        <v>11270</v>
      </c>
      <c r="B727" t="s">
        <v>36</v>
      </c>
      <c r="C727" t="s">
        <v>40</v>
      </c>
      <c r="D727" s="3">
        <v>130000</v>
      </c>
      <c r="E727">
        <v>2</v>
      </c>
      <c r="F727" t="s">
        <v>31</v>
      </c>
      <c r="G727" t="s">
        <v>28</v>
      </c>
      <c r="H727" t="s">
        <v>15</v>
      </c>
      <c r="I727">
        <v>3</v>
      </c>
      <c r="J727" t="s">
        <v>16</v>
      </c>
      <c r="K727" t="s">
        <v>32</v>
      </c>
      <c r="L727">
        <v>42</v>
      </c>
      <c r="M727" t="str">
        <f t="shared" si="11"/>
        <v>Middle Age31-54</v>
      </c>
      <c r="N727" t="s">
        <v>15</v>
      </c>
    </row>
    <row r="728" spans="1:14" x14ac:dyDescent="0.3">
      <c r="A728">
        <v>20084</v>
      </c>
      <c r="B728" t="s">
        <v>36</v>
      </c>
      <c r="C728" t="s">
        <v>40</v>
      </c>
      <c r="D728" s="3">
        <v>20000</v>
      </c>
      <c r="E728">
        <v>2</v>
      </c>
      <c r="F728" t="s">
        <v>27</v>
      </c>
      <c r="G728" t="s">
        <v>25</v>
      </c>
      <c r="H728" t="s">
        <v>18</v>
      </c>
      <c r="I728">
        <v>2</v>
      </c>
      <c r="J728" t="s">
        <v>16</v>
      </c>
      <c r="K728" t="s">
        <v>32</v>
      </c>
      <c r="L728">
        <v>53</v>
      </c>
      <c r="M728" t="str">
        <f t="shared" si="11"/>
        <v>Middle Age31-54</v>
      </c>
      <c r="N728" t="s">
        <v>18</v>
      </c>
    </row>
    <row r="729" spans="1:14" x14ac:dyDescent="0.3">
      <c r="A729">
        <v>16144</v>
      </c>
      <c r="B729" t="s">
        <v>36</v>
      </c>
      <c r="C729" t="s">
        <v>40</v>
      </c>
      <c r="D729" s="3">
        <v>70000</v>
      </c>
      <c r="E729">
        <v>1</v>
      </c>
      <c r="F729" t="s">
        <v>31</v>
      </c>
      <c r="G729" t="s">
        <v>21</v>
      </c>
      <c r="H729" t="s">
        <v>15</v>
      </c>
      <c r="I729">
        <v>1</v>
      </c>
      <c r="J729" t="s">
        <v>16</v>
      </c>
      <c r="K729" t="s">
        <v>32</v>
      </c>
      <c r="L729">
        <v>46</v>
      </c>
      <c r="M729" t="str">
        <f t="shared" si="11"/>
        <v>Middle Age31-54</v>
      </c>
      <c r="N729" t="s">
        <v>15</v>
      </c>
    </row>
    <row r="730" spans="1:14" x14ac:dyDescent="0.3">
      <c r="A730">
        <v>27731</v>
      </c>
      <c r="B730" t="s">
        <v>36</v>
      </c>
      <c r="C730" t="s">
        <v>40</v>
      </c>
      <c r="D730" s="3">
        <v>40000</v>
      </c>
      <c r="E730">
        <v>0</v>
      </c>
      <c r="F730" t="s">
        <v>27</v>
      </c>
      <c r="G730" t="s">
        <v>14</v>
      </c>
      <c r="H730" t="s">
        <v>15</v>
      </c>
      <c r="I730">
        <v>2</v>
      </c>
      <c r="J730" t="s">
        <v>23</v>
      </c>
      <c r="K730" t="s">
        <v>32</v>
      </c>
      <c r="L730">
        <v>27</v>
      </c>
      <c r="M730" t="str">
        <f t="shared" si="11"/>
        <v>Adolescent0-30</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Age31-54</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Age31-54</v>
      </c>
      <c r="N732" t="s">
        <v>15</v>
      </c>
    </row>
    <row r="733" spans="1:14" x14ac:dyDescent="0.3">
      <c r="A733">
        <v>22220</v>
      </c>
      <c r="B733" t="s">
        <v>36</v>
      </c>
      <c r="C733" t="s">
        <v>40</v>
      </c>
      <c r="D733" s="3">
        <v>60000</v>
      </c>
      <c r="E733">
        <v>2</v>
      </c>
      <c r="F733" t="s">
        <v>27</v>
      </c>
      <c r="G733" t="s">
        <v>21</v>
      </c>
      <c r="H733" t="s">
        <v>18</v>
      </c>
      <c r="I733">
        <v>2</v>
      </c>
      <c r="J733" t="s">
        <v>26</v>
      </c>
      <c r="K733" t="s">
        <v>32</v>
      </c>
      <c r="L733">
        <v>49</v>
      </c>
      <c r="M733" t="str">
        <f t="shared" si="11"/>
        <v>Middle Age31-54</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Age31-54</v>
      </c>
      <c r="N734" t="s">
        <v>15</v>
      </c>
    </row>
    <row r="735" spans="1:14" x14ac:dyDescent="0.3">
      <c r="A735">
        <v>23027</v>
      </c>
      <c r="B735" t="s">
        <v>37</v>
      </c>
      <c r="C735" t="s">
        <v>40</v>
      </c>
      <c r="D735" s="3">
        <v>130000</v>
      </c>
      <c r="E735">
        <v>1</v>
      </c>
      <c r="F735" t="s">
        <v>13</v>
      </c>
      <c r="G735" t="s">
        <v>28</v>
      </c>
      <c r="H735" t="s">
        <v>18</v>
      </c>
      <c r="I735">
        <v>4</v>
      </c>
      <c r="J735" t="s">
        <v>16</v>
      </c>
      <c r="K735" t="s">
        <v>32</v>
      </c>
      <c r="L735">
        <v>44</v>
      </c>
      <c r="M735" t="str">
        <f t="shared" si="11"/>
        <v>Middle Age31-54</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Age31-54</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Adolescent0-30</v>
      </c>
      <c r="N737" t="s">
        <v>18</v>
      </c>
    </row>
    <row r="738" spans="1:14" x14ac:dyDescent="0.3">
      <c r="A738">
        <v>19634</v>
      </c>
      <c r="B738" t="s">
        <v>36</v>
      </c>
      <c r="C738" t="s">
        <v>40</v>
      </c>
      <c r="D738" s="3">
        <v>40000</v>
      </c>
      <c r="E738">
        <v>0</v>
      </c>
      <c r="F738" t="s">
        <v>27</v>
      </c>
      <c r="G738" t="s">
        <v>14</v>
      </c>
      <c r="H738" t="s">
        <v>15</v>
      </c>
      <c r="I738">
        <v>1</v>
      </c>
      <c r="J738" t="s">
        <v>23</v>
      </c>
      <c r="K738" t="s">
        <v>32</v>
      </c>
      <c r="L738">
        <v>31</v>
      </c>
      <c r="M738" t="str">
        <f t="shared" si="11"/>
        <v>Middle Age31-54</v>
      </c>
      <c r="N738" t="s">
        <v>18</v>
      </c>
    </row>
    <row r="739" spans="1:14" x14ac:dyDescent="0.3">
      <c r="A739">
        <v>18504</v>
      </c>
      <c r="B739" t="s">
        <v>36</v>
      </c>
      <c r="C739" t="s">
        <v>40</v>
      </c>
      <c r="D739" s="3">
        <v>70000</v>
      </c>
      <c r="E739">
        <v>2</v>
      </c>
      <c r="F739" t="s">
        <v>29</v>
      </c>
      <c r="G739" t="s">
        <v>14</v>
      </c>
      <c r="H739" t="s">
        <v>18</v>
      </c>
      <c r="I739">
        <v>2</v>
      </c>
      <c r="J739" t="s">
        <v>26</v>
      </c>
      <c r="K739" t="s">
        <v>32</v>
      </c>
      <c r="L739">
        <v>49</v>
      </c>
      <c r="M739" t="str">
        <f t="shared" si="11"/>
        <v>Middle Age31-54</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Age31-54</v>
      </c>
      <c r="N740" t="s">
        <v>15</v>
      </c>
    </row>
    <row r="741" spans="1:14" x14ac:dyDescent="0.3">
      <c r="A741">
        <v>11225</v>
      </c>
      <c r="B741" t="s">
        <v>36</v>
      </c>
      <c r="C741" t="s">
        <v>39</v>
      </c>
      <c r="D741" s="3">
        <v>60000</v>
      </c>
      <c r="E741">
        <v>2</v>
      </c>
      <c r="F741" t="s">
        <v>19</v>
      </c>
      <c r="G741" t="s">
        <v>21</v>
      </c>
      <c r="H741" t="s">
        <v>15</v>
      </c>
      <c r="I741">
        <v>1</v>
      </c>
      <c r="J741" t="s">
        <v>44</v>
      </c>
      <c r="K741" t="s">
        <v>32</v>
      </c>
      <c r="L741">
        <v>55</v>
      </c>
      <c r="M741" t="str">
        <f t="shared" si="11"/>
        <v>Middle Age31-54</v>
      </c>
      <c r="N741" t="s">
        <v>18</v>
      </c>
    </row>
    <row r="742" spans="1:14" x14ac:dyDescent="0.3">
      <c r="A742">
        <v>17657</v>
      </c>
      <c r="B742" t="s">
        <v>36</v>
      </c>
      <c r="C742" t="s">
        <v>40</v>
      </c>
      <c r="D742" s="3">
        <v>40000</v>
      </c>
      <c r="E742">
        <v>4</v>
      </c>
      <c r="F742" t="s">
        <v>19</v>
      </c>
      <c r="G742" t="s">
        <v>20</v>
      </c>
      <c r="H742" t="s">
        <v>18</v>
      </c>
      <c r="I742">
        <v>0</v>
      </c>
      <c r="J742" t="s">
        <v>16</v>
      </c>
      <c r="K742" t="s">
        <v>32</v>
      </c>
      <c r="L742">
        <v>30</v>
      </c>
      <c r="M742" t="str">
        <f t="shared" si="11"/>
        <v>Adolescent0-30</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Age31-54</v>
      </c>
      <c r="N743" t="s">
        <v>15</v>
      </c>
    </row>
    <row r="744" spans="1:14" x14ac:dyDescent="0.3">
      <c r="A744">
        <v>14077</v>
      </c>
      <c r="B744" t="s">
        <v>37</v>
      </c>
      <c r="C744" t="s">
        <v>40</v>
      </c>
      <c r="D744" s="3">
        <v>30000</v>
      </c>
      <c r="E744">
        <v>0</v>
      </c>
      <c r="F744" t="s">
        <v>27</v>
      </c>
      <c r="G744" t="s">
        <v>14</v>
      </c>
      <c r="H744" t="s">
        <v>15</v>
      </c>
      <c r="I744">
        <v>2</v>
      </c>
      <c r="J744" t="s">
        <v>23</v>
      </c>
      <c r="K744" t="s">
        <v>32</v>
      </c>
      <c r="L744">
        <v>30</v>
      </c>
      <c r="M744" t="str">
        <f t="shared" si="11"/>
        <v>Adolescent0-30</v>
      </c>
      <c r="N744" t="s">
        <v>18</v>
      </c>
    </row>
    <row r="745" spans="1:14" x14ac:dyDescent="0.3">
      <c r="A745">
        <v>13296</v>
      </c>
      <c r="B745" t="s">
        <v>36</v>
      </c>
      <c r="C745" t="s">
        <v>40</v>
      </c>
      <c r="D745" s="3">
        <v>110000</v>
      </c>
      <c r="E745">
        <v>1</v>
      </c>
      <c r="F745" t="s">
        <v>13</v>
      </c>
      <c r="G745" t="s">
        <v>28</v>
      </c>
      <c r="H745" t="s">
        <v>15</v>
      </c>
      <c r="I745">
        <v>3</v>
      </c>
      <c r="J745" t="s">
        <v>23</v>
      </c>
      <c r="K745" t="s">
        <v>32</v>
      </c>
      <c r="L745">
        <v>45</v>
      </c>
      <c r="M745" t="str">
        <f t="shared" si="11"/>
        <v>Middle Age31-54</v>
      </c>
      <c r="N745" t="s">
        <v>18</v>
      </c>
    </row>
    <row r="746" spans="1:14" x14ac:dyDescent="0.3">
      <c r="A746">
        <v>20535</v>
      </c>
      <c r="B746" t="s">
        <v>36</v>
      </c>
      <c r="C746" t="s">
        <v>39</v>
      </c>
      <c r="D746" s="3">
        <v>70000</v>
      </c>
      <c r="E746">
        <v>4</v>
      </c>
      <c r="F746" t="s">
        <v>19</v>
      </c>
      <c r="G746" t="s">
        <v>21</v>
      </c>
      <c r="H746" t="s">
        <v>15</v>
      </c>
      <c r="I746">
        <v>1</v>
      </c>
      <c r="J746" t="s">
        <v>44</v>
      </c>
      <c r="K746" t="s">
        <v>32</v>
      </c>
      <c r="L746">
        <v>56</v>
      </c>
      <c r="M746" t="str">
        <f t="shared" si="11"/>
        <v>Old 55+</v>
      </c>
      <c r="N746" t="s">
        <v>18</v>
      </c>
    </row>
    <row r="747" spans="1:14" x14ac:dyDescent="0.3">
      <c r="A747">
        <v>12452</v>
      </c>
      <c r="B747" t="s">
        <v>36</v>
      </c>
      <c r="C747" t="s">
        <v>40</v>
      </c>
      <c r="D747" s="3">
        <v>60000</v>
      </c>
      <c r="E747">
        <v>4</v>
      </c>
      <c r="F747" t="s">
        <v>31</v>
      </c>
      <c r="G747" t="s">
        <v>14</v>
      </c>
      <c r="H747" t="s">
        <v>15</v>
      </c>
      <c r="I747">
        <v>0</v>
      </c>
      <c r="J747" t="s">
        <v>26</v>
      </c>
      <c r="K747" t="s">
        <v>32</v>
      </c>
      <c r="L747">
        <v>47</v>
      </c>
      <c r="M747" t="str">
        <f t="shared" si="11"/>
        <v>Middle Age31-54</v>
      </c>
      <c r="N747" t="s">
        <v>15</v>
      </c>
    </row>
    <row r="748" spans="1:14" x14ac:dyDescent="0.3">
      <c r="A748">
        <v>28043</v>
      </c>
      <c r="B748" t="s">
        <v>36</v>
      </c>
      <c r="C748" t="s">
        <v>39</v>
      </c>
      <c r="D748" s="3">
        <v>60000</v>
      </c>
      <c r="E748">
        <v>2</v>
      </c>
      <c r="F748" t="s">
        <v>13</v>
      </c>
      <c r="G748" t="s">
        <v>28</v>
      </c>
      <c r="H748" t="s">
        <v>15</v>
      </c>
      <c r="I748">
        <v>0</v>
      </c>
      <c r="J748" t="s">
        <v>44</v>
      </c>
      <c r="K748" t="s">
        <v>32</v>
      </c>
      <c r="L748">
        <v>56</v>
      </c>
      <c r="M748" t="str">
        <f t="shared" si="11"/>
        <v>Old 55+</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Age31-54</v>
      </c>
      <c r="N749" t="s">
        <v>18</v>
      </c>
    </row>
    <row r="750" spans="1:14" x14ac:dyDescent="0.3">
      <c r="A750">
        <v>15412</v>
      </c>
      <c r="B750" t="s">
        <v>36</v>
      </c>
      <c r="C750" t="s">
        <v>40</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40</v>
      </c>
      <c r="D752" s="3">
        <v>30000</v>
      </c>
      <c r="E752">
        <v>2</v>
      </c>
      <c r="F752" t="s">
        <v>27</v>
      </c>
      <c r="G752" t="s">
        <v>14</v>
      </c>
      <c r="H752" t="s">
        <v>15</v>
      </c>
      <c r="I752">
        <v>2</v>
      </c>
      <c r="J752" t="s">
        <v>26</v>
      </c>
      <c r="K752" t="s">
        <v>32</v>
      </c>
      <c r="L752">
        <v>50</v>
      </c>
      <c r="M752" t="str">
        <f t="shared" si="11"/>
        <v>Middle Age31-54</v>
      </c>
      <c r="N752" t="s">
        <v>18</v>
      </c>
    </row>
    <row r="753" spans="1:14" x14ac:dyDescent="0.3">
      <c r="A753">
        <v>11801</v>
      </c>
      <c r="B753" t="s">
        <v>36</v>
      </c>
      <c r="C753" t="s">
        <v>40</v>
      </c>
      <c r="D753" s="3">
        <v>60000</v>
      </c>
      <c r="E753">
        <v>1</v>
      </c>
      <c r="F753" t="s">
        <v>31</v>
      </c>
      <c r="G753" t="s">
        <v>21</v>
      </c>
      <c r="H753" t="s">
        <v>15</v>
      </c>
      <c r="I753">
        <v>0</v>
      </c>
      <c r="J753" t="s">
        <v>22</v>
      </c>
      <c r="K753" t="s">
        <v>32</v>
      </c>
      <c r="L753">
        <v>36</v>
      </c>
      <c r="M753" t="str">
        <f t="shared" si="11"/>
        <v>Middle Age31-54</v>
      </c>
      <c r="N753" t="s">
        <v>18</v>
      </c>
    </row>
    <row r="754" spans="1:14" x14ac:dyDescent="0.3">
      <c r="A754">
        <v>22211</v>
      </c>
      <c r="B754" t="s">
        <v>36</v>
      </c>
      <c r="C754" t="s">
        <v>40</v>
      </c>
      <c r="D754" s="3">
        <v>60000</v>
      </c>
      <c r="E754">
        <v>0</v>
      </c>
      <c r="F754" t="s">
        <v>19</v>
      </c>
      <c r="G754" t="s">
        <v>21</v>
      </c>
      <c r="H754" t="s">
        <v>15</v>
      </c>
      <c r="I754">
        <v>2</v>
      </c>
      <c r="J754" t="s">
        <v>23</v>
      </c>
      <c r="K754" t="s">
        <v>32</v>
      </c>
      <c r="L754">
        <v>32</v>
      </c>
      <c r="M754" t="str">
        <f t="shared" si="11"/>
        <v>Middle Age31-54</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Adolescent0-30</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40</v>
      </c>
      <c r="D757" s="3">
        <v>60000</v>
      </c>
      <c r="E757">
        <v>3</v>
      </c>
      <c r="F757" t="s">
        <v>27</v>
      </c>
      <c r="G757" t="s">
        <v>21</v>
      </c>
      <c r="H757" t="s">
        <v>18</v>
      </c>
      <c r="I757">
        <v>2</v>
      </c>
      <c r="J757" t="s">
        <v>22</v>
      </c>
      <c r="K757" t="s">
        <v>32</v>
      </c>
      <c r="L757">
        <v>53</v>
      </c>
      <c r="M757" t="str">
        <f t="shared" si="11"/>
        <v>Middle Age31-54</v>
      </c>
      <c r="N757" t="s">
        <v>18</v>
      </c>
    </row>
    <row r="758" spans="1:14" x14ac:dyDescent="0.3">
      <c r="A758">
        <v>27261</v>
      </c>
      <c r="B758" t="s">
        <v>36</v>
      </c>
      <c r="C758" t="s">
        <v>40</v>
      </c>
      <c r="D758" s="3">
        <v>40000</v>
      </c>
      <c r="E758">
        <v>1</v>
      </c>
      <c r="F758" t="s">
        <v>13</v>
      </c>
      <c r="G758" t="s">
        <v>14</v>
      </c>
      <c r="H758" t="s">
        <v>18</v>
      </c>
      <c r="I758">
        <v>1</v>
      </c>
      <c r="J758" t="s">
        <v>16</v>
      </c>
      <c r="K758" t="s">
        <v>32</v>
      </c>
      <c r="L758">
        <v>36</v>
      </c>
      <c r="M758" t="str">
        <f t="shared" si="11"/>
        <v>Middle Age31-54</v>
      </c>
      <c r="N758" t="s">
        <v>15</v>
      </c>
    </row>
    <row r="759" spans="1:14" x14ac:dyDescent="0.3">
      <c r="A759">
        <v>18649</v>
      </c>
      <c r="B759" t="s">
        <v>37</v>
      </c>
      <c r="C759" t="s">
        <v>40</v>
      </c>
      <c r="D759" s="3">
        <v>30000</v>
      </c>
      <c r="E759">
        <v>1</v>
      </c>
      <c r="F759" t="s">
        <v>27</v>
      </c>
      <c r="G759" t="s">
        <v>20</v>
      </c>
      <c r="H759" t="s">
        <v>15</v>
      </c>
      <c r="I759">
        <v>2</v>
      </c>
      <c r="J759" t="s">
        <v>26</v>
      </c>
      <c r="K759" t="s">
        <v>32</v>
      </c>
      <c r="L759">
        <v>51</v>
      </c>
      <c r="M759" t="str">
        <f t="shared" si="11"/>
        <v>Middle Age31-54</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Age31-54</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Age31-54</v>
      </c>
      <c r="N761" t="s">
        <v>15</v>
      </c>
    </row>
    <row r="762" spans="1:14" x14ac:dyDescent="0.3">
      <c r="A762">
        <v>23797</v>
      </c>
      <c r="B762" t="s">
        <v>37</v>
      </c>
      <c r="C762" t="s">
        <v>40</v>
      </c>
      <c r="D762" s="3">
        <v>20000</v>
      </c>
      <c r="E762">
        <v>3</v>
      </c>
      <c r="F762" t="s">
        <v>29</v>
      </c>
      <c r="G762" t="s">
        <v>20</v>
      </c>
      <c r="H762" t="s">
        <v>18</v>
      </c>
      <c r="I762">
        <v>2</v>
      </c>
      <c r="J762" t="s">
        <v>16</v>
      </c>
      <c r="K762" t="s">
        <v>32</v>
      </c>
      <c r="L762">
        <v>50</v>
      </c>
      <c r="M762" t="str">
        <f t="shared" si="11"/>
        <v>Middle Age31-54</v>
      </c>
      <c r="N762" t="s">
        <v>18</v>
      </c>
    </row>
    <row r="763" spans="1:14" x14ac:dyDescent="0.3">
      <c r="A763">
        <v>13216</v>
      </c>
      <c r="B763" t="s">
        <v>36</v>
      </c>
      <c r="C763" t="s">
        <v>39</v>
      </c>
      <c r="D763" s="3">
        <v>60000</v>
      </c>
      <c r="E763">
        <v>5</v>
      </c>
      <c r="F763" t="s">
        <v>13</v>
      </c>
      <c r="G763" t="s">
        <v>28</v>
      </c>
      <c r="H763" t="s">
        <v>15</v>
      </c>
      <c r="I763">
        <v>3</v>
      </c>
      <c r="J763" t="s">
        <v>44</v>
      </c>
      <c r="K763" t="s">
        <v>32</v>
      </c>
      <c r="L763">
        <v>59</v>
      </c>
      <c r="M763" t="str">
        <f t="shared" si="11"/>
        <v>Old 55+</v>
      </c>
      <c r="N763" t="s">
        <v>18</v>
      </c>
    </row>
    <row r="764" spans="1:14" x14ac:dyDescent="0.3">
      <c r="A764">
        <v>20657</v>
      </c>
      <c r="B764" t="s">
        <v>37</v>
      </c>
      <c r="C764" t="s">
        <v>40</v>
      </c>
      <c r="D764" s="3">
        <v>50000</v>
      </c>
      <c r="E764">
        <v>2</v>
      </c>
      <c r="F764" t="s">
        <v>13</v>
      </c>
      <c r="G764" t="s">
        <v>14</v>
      </c>
      <c r="H764" t="s">
        <v>15</v>
      </c>
      <c r="I764">
        <v>0</v>
      </c>
      <c r="J764" t="s">
        <v>22</v>
      </c>
      <c r="K764" t="s">
        <v>32</v>
      </c>
      <c r="L764">
        <v>37</v>
      </c>
      <c r="M764" t="str">
        <f t="shared" si="11"/>
        <v>Middle Age31-54</v>
      </c>
      <c r="N764" t="s">
        <v>15</v>
      </c>
    </row>
    <row r="765" spans="1:14" x14ac:dyDescent="0.3">
      <c r="A765">
        <v>12882</v>
      </c>
      <c r="B765" t="s">
        <v>36</v>
      </c>
      <c r="C765" t="s">
        <v>40</v>
      </c>
      <c r="D765" s="3">
        <v>50000</v>
      </c>
      <c r="E765">
        <v>1</v>
      </c>
      <c r="F765" t="s">
        <v>31</v>
      </c>
      <c r="G765" t="s">
        <v>14</v>
      </c>
      <c r="H765" t="s">
        <v>15</v>
      </c>
      <c r="I765">
        <v>0</v>
      </c>
      <c r="J765" t="s">
        <v>16</v>
      </c>
      <c r="K765" t="s">
        <v>32</v>
      </c>
      <c r="L765">
        <v>33</v>
      </c>
      <c r="M765" t="str">
        <f t="shared" si="11"/>
        <v>Middle Age31-54</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Adolescent0-30</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Age31-54</v>
      </c>
      <c r="N767" t="s">
        <v>15</v>
      </c>
    </row>
    <row r="768" spans="1:14" x14ac:dyDescent="0.3">
      <c r="A768">
        <v>14608</v>
      </c>
      <c r="B768" t="s">
        <v>36</v>
      </c>
      <c r="C768" t="s">
        <v>40</v>
      </c>
      <c r="D768" s="3">
        <v>50000</v>
      </c>
      <c r="E768">
        <v>4</v>
      </c>
      <c r="F768" t="s">
        <v>13</v>
      </c>
      <c r="G768" t="s">
        <v>14</v>
      </c>
      <c r="H768" t="s">
        <v>15</v>
      </c>
      <c r="I768">
        <v>3</v>
      </c>
      <c r="J768" t="s">
        <v>44</v>
      </c>
      <c r="K768" t="s">
        <v>32</v>
      </c>
      <c r="L768">
        <v>42</v>
      </c>
      <c r="M768" t="str">
        <f t="shared" si="11"/>
        <v>Middle Age31-54</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Age31-54</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 "Old 55+", IF(L771&gt;=31, "Middle Age31-54",IF(L771&lt;31,"Adolescent0-30","Invalid")))</f>
        <v>Middle Age31-54</v>
      </c>
      <c r="N771" t="s">
        <v>18</v>
      </c>
    </row>
    <row r="772" spans="1:14" x14ac:dyDescent="0.3">
      <c r="A772">
        <v>17699</v>
      </c>
      <c r="B772" t="s">
        <v>36</v>
      </c>
      <c r="C772" t="s">
        <v>40</v>
      </c>
      <c r="D772" s="3">
        <v>60000</v>
      </c>
      <c r="E772">
        <v>1</v>
      </c>
      <c r="F772" t="s">
        <v>31</v>
      </c>
      <c r="G772" t="s">
        <v>14</v>
      </c>
      <c r="H772" t="s">
        <v>18</v>
      </c>
      <c r="I772">
        <v>0</v>
      </c>
      <c r="J772" t="s">
        <v>16</v>
      </c>
      <c r="K772" t="s">
        <v>32</v>
      </c>
      <c r="L772">
        <v>55</v>
      </c>
      <c r="M772" t="str">
        <f t="shared" si="12"/>
        <v>Middle Age31-54</v>
      </c>
      <c r="N772" t="s">
        <v>18</v>
      </c>
    </row>
    <row r="773" spans="1:14" x14ac:dyDescent="0.3">
      <c r="A773">
        <v>14657</v>
      </c>
      <c r="B773" t="s">
        <v>36</v>
      </c>
      <c r="C773" t="s">
        <v>40</v>
      </c>
      <c r="D773" s="3">
        <v>80000</v>
      </c>
      <c r="E773">
        <v>1</v>
      </c>
      <c r="F773" t="s">
        <v>19</v>
      </c>
      <c r="G773" t="s">
        <v>14</v>
      </c>
      <c r="H773" t="s">
        <v>18</v>
      </c>
      <c r="I773">
        <v>1</v>
      </c>
      <c r="J773" t="s">
        <v>16</v>
      </c>
      <c r="K773" t="s">
        <v>32</v>
      </c>
      <c r="L773">
        <v>47</v>
      </c>
      <c r="M773" t="str">
        <f t="shared" si="12"/>
        <v>Middle Age31-54</v>
      </c>
      <c r="N773" t="s">
        <v>15</v>
      </c>
    </row>
    <row r="774" spans="1:14" x14ac:dyDescent="0.3">
      <c r="A774">
        <v>11540</v>
      </c>
      <c r="B774" t="s">
        <v>37</v>
      </c>
      <c r="C774" t="s">
        <v>40</v>
      </c>
      <c r="D774" s="3">
        <v>60000</v>
      </c>
      <c r="E774">
        <v>4</v>
      </c>
      <c r="F774" t="s">
        <v>31</v>
      </c>
      <c r="G774" t="s">
        <v>14</v>
      </c>
      <c r="H774" t="s">
        <v>15</v>
      </c>
      <c r="I774">
        <v>0</v>
      </c>
      <c r="J774" t="s">
        <v>26</v>
      </c>
      <c r="K774" t="s">
        <v>32</v>
      </c>
      <c r="L774">
        <v>47</v>
      </c>
      <c r="M774" t="str">
        <f t="shared" si="12"/>
        <v>Middle Age31-54</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Age31-54</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Age31-54</v>
      </c>
      <c r="N776" t="s">
        <v>15</v>
      </c>
    </row>
    <row r="777" spans="1:14" x14ac:dyDescent="0.3">
      <c r="A777">
        <v>29030</v>
      </c>
      <c r="B777" t="s">
        <v>36</v>
      </c>
      <c r="C777" t="s">
        <v>40</v>
      </c>
      <c r="D777" s="3">
        <v>70000</v>
      </c>
      <c r="E777">
        <v>2</v>
      </c>
      <c r="F777" t="s">
        <v>29</v>
      </c>
      <c r="G777" t="s">
        <v>14</v>
      </c>
      <c r="H777" t="s">
        <v>15</v>
      </c>
      <c r="I777">
        <v>2</v>
      </c>
      <c r="J777" t="s">
        <v>44</v>
      </c>
      <c r="K777" t="s">
        <v>32</v>
      </c>
      <c r="L777">
        <v>54</v>
      </c>
      <c r="M777" t="str">
        <f t="shared" si="12"/>
        <v>Middle Age31-54</v>
      </c>
      <c r="N777" t="s">
        <v>18</v>
      </c>
    </row>
    <row r="778" spans="1:14" x14ac:dyDescent="0.3">
      <c r="A778">
        <v>26490</v>
      </c>
      <c r="B778" t="s">
        <v>37</v>
      </c>
      <c r="C778" t="s">
        <v>40</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40</v>
      </c>
      <c r="D779" s="3">
        <v>40000</v>
      </c>
      <c r="E779">
        <v>0</v>
      </c>
      <c r="F779" t="s">
        <v>27</v>
      </c>
      <c r="G779" t="s">
        <v>14</v>
      </c>
      <c r="H779" t="s">
        <v>15</v>
      </c>
      <c r="I779">
        <v>2</v>
      </c>
      <c r="J779" t="s">
        <v>23</v>
      </c>
      <c r="K779" t="s">
        <v>32</v>
      </c>
      <c r="L779">
        <v>27</v>
      </c>
      <c r="M779" t="str">
        <f t="shared" si="12"/>
        <v>Adolescent0-30</v>
      </c>
      <c r="N779" t="s">
        <v>18</v>
      </c>
    </row>
    <row r="780" spans="1:14" x14ac:dyDescent="0.3">
      <c r="A780">
        <v>17260</v>
      </c>
      <c r="B780" t="s">
        <v>36</v>
      </c>
      <c r="C780" t="s">
        <v>40</v>
      </c>
      <c r="D780" s="3">
        <v>90000</v>
      </c>
      <c r="E780">
        <v>5</v>
      </c>
      <c r="F780" t="s">
        <v>19</v>
      </c>
      <c r="G780" t="s">
        <v>21</v>
      </c>
      <c r="H780" t="s">
        <v>15</v>
      </c>
      <c r="I780">
        <v>3</v>
      </c>
      <c r="J780" t="s">
        <v>16</v>
      </c>
      <c r="K780" t="s">
        <v>32</v>
      </c>
      <c r="L780">
        <v>41</v>
      </c>
      <c r="M780" t="str">
        <f t="shared" si="12"/>
        <v>Middle Age31-54</v>
      </c>
      <c r="N780" t="s">
        <v>18</v>
      </c>
    </row>
    <row r="781" spans="1:14" x14ac:dyDescent="0.3">
      <c r="A781">
        <v>15372</v>
      </c>
      <c r="B781" t="s">
        <v>36</v>
      </c>
      <c r="C781" t="s">
        <v>40</v>
      </c>
      <c r="D781" s="3">
        <v>80000</v>
      </c>
      <c r="E781">
        <v>3</v>
      </c>
      <c r="F781" t="s">
        <v>19</v>
      </c>
      <c r="G781" t="s">
        <v>21</v>
      </c>
      <c r="H781" t="s">
        <v>18</v>
      </c>
      <c r="I781">
        <v>2</v>
      </c>
      <c r="J781" t="s">
        <v>22</v>
      </c>
      <c r="K781" t="s">
        <v>32</v>
      </c>
      <c r="L781">
        <v>50</v>
      </c>
      <c r="M781" t="str">
        <f t="shared" si="12"/>
        <v>Middle Age31-54</v>
      </c>
      <c r="N781" t="s">
        <v>15</v>
      </c>
    </row>
    <row r="782" spans="1:14" x14ac:dyDescent="0.3">
      <c r="A782">
        <v>18105</v>
      </c>
      <c r="B782" t="s">
        <v>36</v>
      </c>
      <c r="C782" t="s">
        <v>39</v>
      </c>
      <c r="D782" s="3">
        <v>60000</v>
      </c>
      <c r="E782">
        <v>2</v>
      </c>
      <c r="F782" t="s">
        <v>19</v>
      </c>
      <c r="G782" t="s">
        <v>21</v>
      </c>
      <c r="H782" t="s">
        <v>15</v>
      </c>
      <c r="I782">
        <v>1</v>
      </c>
      <c r="J782" t="s">
        <v>44</v>
      </c>
      <c r="K782" t="s">
        <v>32</v>
      </c>
      <c r="L782">
        <v>55</v>
      </c>
      <c r="M782" t="str">
        <f t="shared" si="12"/>
        <v>Middle Age31-54</v>
      </c>
      <c r="N782" t="s">
        <v>18</v>
      </c>
    </row>
    <row r="783" spans="1:14" x14ac:dyDescent="0.3">
      <c r="A783">
        <v>19660</v>
      </c>
      <c r="B783" t="s">
        <v>36</v>
      </c>
      <c r="C783" t="s">
        <v>40</v>
      </c>
      <c r="D783" s="3">
        <v>80000</v>
      </c>
      <c r="E783">
        <v>4</v>
      </c>
      <c r="F783" t="s">
        <v>13</v>
      </c>
      <c r="G783" t="s">
        <v>28</v>
      </c>
      <c r="H783" t="s">
        <v>15</v>
      </c>
      <c r="I783">
        <v>0</v>
      </c>
      <c r="J783" t="s">
        <v>16</v>
      </c>
      <c r="K783" t="s">
        <v>32</v>
      </c>
      <c r="L783">
        <v>43</v>
      </c>
      <c r="M783" t="str">
        <f t="shared" si="12"/>
        <v>Middle Age31-54</v>
      </c>
      <c r="N783" t="s">
        <v>18</v>
      </c>
    </row>
    <row r="784" spans="1:14" x14ac:dyDescent="0.3">
      <c r="A784">
        <v>16112</v>
      </c>
      <c r="B784" t="s">
        <v>37</v>
      </c>
      <c r="C784" t="s">
        <v>40</v>
      </c>
      <c r="D784" s="3">
        <v>70000</v>
      </c>
      <c r="E784">
        <v>4</v>
      </c>
      <c r="F784" t="s">
        <v>13</v>
      </c>
      <c r="G784" t="s">
        <v>21</v>
      </c>
      <c r="H784" t="s">
        <v>15</v>
      </c>
      <c r="I784">
        <v>2</v>
      </c>
      <c r="J784" t="s">
        <v>22</v>
      </c>
      <c r="K784" t="s">
        <v>32</v>
      </c>
      <c r="L784">
        <v>43</v>
      </c>
      <c r="M784" t="str">
        <f t="shared" si="12"/>
        <v>Middle Age31-54</v>
      </c>
      <c r="N784" t="s">
        <v>15</v>
      </c>
    </row>
    <row r="785" spans="1:14" x14ac:dyDescent="0.3">
      <c r="A785">
        <v>20698</v>
      </c>
      <c r="B785" t="s">
        <v>36</v>
      </c>
      <c r="C785" t="s">
        <v>40</v>
      </c>
      <c r="D785" s="3">
        <v>60000</v>
      </c>
      <c r="E785">
        <v>4</v>
      </c>
      <c r="F785" t="s">
        <v>13</v>
      </c>
      <c r="G785" t="s">
        <v>14</v>
      </c>
      <c r="H785" t="s">
        <v>15</v>
      </c>
      <c r="I785">
        <v>3</v>
      </c>
      <c r="J785" t="s">
        <v>23</v>
      </c>
      <c r="K785" t="s">
        <v>32</v>
      </c>
      <c r="L785">
        <v>42</v>
      </c>
      <c r="M785" t="str">
        <f t="shared" si="12"/>
        <v>Middle Age31-54</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Age31-54</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Adolescent0-30</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Age31-54</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Age31-54</v>
      </c>
      <c r="N790" t="s">
        <v>18</v>
      </c>
    </row>
    <row r="791" spans="1:14" x14ac:dyDescent="0.3">
      <c r="A791">
        <v>22221</v>
      </c>
      <c r="B791" t="s">
        <v>36</v>
      </c>
      <c r="C791" t="s">
        <v>40</v>
      </c>
      <c r="D791" s="3">
        <v>60000</v>
      </c>
      <c r="E791">
        <v>2</v>
      </c>
      <c r="F791" t="s">
        <v>27</v>
      </c>
      <c r="G791" t="s">
        <v>21</v>
      </c>
      <c r="H791" t="s">
        <v>18</v>
      </c>
      <c r="I791">
        <v>2</v>
      </c>
      <c r="J791" t="s">
        <v>26</v>
      </c>
      <c r="K791" t="s">
        <v>32</v>
      </c>
      <c r="L791">
        <v>48</v>
      </c>
      <c r="M791" t="str">
        <f t="shared" si="12"/>
        <v>Middle Age31-54</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Age31-54</v>
      </c>
      <c r="N792" t="s">
        <v>18</v>
      </c>
    </row>
    <row r="793" spans="1:14" x14ac:dyDescent="0.3">
      <c r="A793">
        <v>18363</v>
      </c>
      <c r="B793" t="s">
        <v>36</v>
      </c>
      <c r="C793" t="s">
        <v>40</v>
      </c>
      <c r="D793" s="3">
        <v>40000</v>
      </c>
      <c r="E793">
        <v>0</v>
      </c>
      <c r="F793" t="s">
        <v>27</v>
      </c>
      <c r="G793" t="s">
        <v>14</v>
      </c>
      <c r="H793" t="s">
        <v>15</v>
      </c>
      <c r="I793">
        <v>2</v>
      </c>
      <c r="J793" t="s">
        <v>23</v>
      </c>
      <c r="K793" t="s">
        <v>32</v>
      </c>
      <c r="L793">
        <v>28</v>
      </c>
      <c r="M793" t="str">
        <f t="shared" si="12"/>
        <v>Adolescent0-30</v>
      </c>
      <c r="N793" t="s">
        <v>15</v>
      </c>
    </row>
    <row r="794" spans="1:14" x14ac:dyDescent="0.3">
      <c r="A794">
        <v>23256</v>
      </c>
      <c r="B794" t="s">
        <v>37</v>
      </c>
      <c r="C794" t="s">
        <v>40</v>
      </c>
      <c r="D794" s="3">
        <v>30000</v>
      </c>
      <c r="E794">
        <v>1</v>
      </c>
      <c r="F794" t="s">
        <v>27</v>
      </c>
      <c r="G794" t="s">
        <v>20</v>
      </c>
      <c r="H794" t="s">
        <v>18</v>
      </c>
      <c r="I794">
        <v>1</v>
      </c>
      <c r="J794" t="s">
        <v>23</v>
      </c>
      <c r="K794" t="s">
        <v>32</v>
      </c>
      <c r="L794">
        <v>52</v>
      </c>
      <c r="M794" t="str">
        <f t="shared" si="12"/>
        <v>Middle Age31-54</v>
      </c>
      <c r="N794" t="s">
        <v>18</v>
      </c>
    </row>
    <row r="795" spans="1:14" x14ac:dyDescent="0.3">
      <c r="A795">
        <v>12768</v>
      </c>
      <c r="B795" t="s">
        <v>36</v>
      </c>
      <c r="C795" t="s">
        <v>40</v>
      </c>
      <c r="D795" s="3">
        <v>30000</v>
      </c>
      <c r="E795">
        <v>1</v>
      </c>
      <c r="F795" t="s">
        <v>27</v>
      </c>
      <c r="G795" t="s">
        <v>20</v>
      </c>
      <c r="H795" t="s">
        <v>15</v>
      </c>
      <c r="I795">
        <v>1</v>
      </c>
      <c r="J795" t="s">
        <v>22</v>
      </c>
      <c r="K795" t="s">
        <v>32</v>
      </c>
      <c r="L795">
        <v>52</v>
      </c>
      <c r="M795" t="str">
        <f t="shared" si="12"/>
        <v>Middle Age31-54</v>
      </c>
      <c r="N795" t="s">
        <v>15</v>
      </c>
    </row>
    <row r="796" spans="1:14" x14ac:dyDescent="0.3">
      <c r="A796">
        <v>20361</v>
      </c>
      <c r="B796" t="s">
        <v>36</v>
      </c>
      <c r="C796" t="s">
        <v>40</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40</v>
      </c>
      <c r="D797" s="3">
        <v>60000</v>
      </c>
      <c r="E797">
        <v>2</v>
      </c>
      <c r="F797" t="s">
        <v>27</v>
      </c>
      <c r="G797" t="s">
        <v>21</v>
      </c>
      <c r="H797" t="s">
        <v>15</v>
      </c>
      <c r="I797">
        <v>2</v>
      </c>
      <c r="J797" t="s">
        <v>23</v>
      </c>
      <c r="K797" t="s">
        <v>32</v>
      </c>
      <c r="L797">
        <v>51</v>
      </c>
      <c r="M797" t="str">
        <f t="shared" si="12"/>
        <v>Middle Age31-54</v>
      </c>
      <c r="N797" t="s">
        <v>18</v>
      </c>
    </row>
    <row r="798" spans="1:14" x14ac:dyDescent="0.3">
      <c r="A798">
        <v>13382</v>
      </c>
      <c r="B798" t="s">
        <v>36</v>
      </c>
      <c r="C798" t="s">
        <v>40</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40</v>
      </c>
      <c r="D799" s="3">
        <v>60000</v>
      </c>
      <c r="E799">
        <v>0</v>
      </c>
      <c r="F799" t="s">
        <v>19</v>
      </c>
      <c r="G799" t="s">
        <v>14</v>
      </c>
      <c r="H799" t="s">
        <v>15</v>
      </c>
      <c r="I799">
        <v>1</v>
      </c>
      <c r="J799" t="s">
        <v>23</v>
      </c>
      <c r="K799" t="s">
        <v>32</v>
      </c>
      <c r="L799">
        <v>27</v>
      </c>
      <c r="M799" t="str">
        <f t="shared" si="12"/>
        <v>Adolescent0-30</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Adolescent0-30</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Age31-54</v>
      </c>
      <c r="N801" t="s">
        <v>15</v>
      </c>
    </row>
    <row r="802" spans="1:14" x14ac:dyDescent="0.3">
      <c r="A802">
        <v>15532</v>
      </c>
      <c r="B802" t="s">
        <v>37</v>
      </c>
      <c r="C802" t="s">
        <v>40</v>
      </c>
      <c r="D802" s="3">
        <v>60000</v>
      </c>
      <c r="E802">
        <v>4</v>
      </c>
      <c r="F802" t="s">
        <v>13</v>
      </c>
      <c r="G802" t="s">
        <v>21</v>
      </c>
      <c r="H802" t="s">
        <v>15</v>
      </c>
      <c r="I802">
        <v>2</v>
      </c>
      <c r="J802" t="s">
        <v>22</v>
      </c>
      <c r="K802" t="s">
        <v>32</v>
      </c>
      <c r="L802">
        <v>43</v>
      </c>
      <c r="M802" t="str">
        <f t="shared" si="12"/>
        <v>Middle Age31-54</v>
      </c>
      <c r="N802" t="s">
        <v>15</v>
      </c>
    </row>
    <row r="803" spans="1:14" x14ac:dyDescent="0.3">
      <c r="A803">
        <v>11255</v>
      </c>
      <c r="B803" t="s">
        <v>36</v>
      </c>
      <c r="C803" t="s">
        <v>40</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40</v>
      </c>
      <c r="D804" s="3">
        <v>40000</v>
      </c>
      <c r="E804">
        <v>0</v>
      </c>
      <c r="F804" t="s">
        <v>19</v>
      </c>
      <c r="G804" t="s">
        <v>14</v>
      </c>
      <c r="H804" t="s">
        <v>15</v>
      </c>
      <c r="I804">
        <v>1</v>
      </c>
      <c r="J804" t="s">
        <v>23</v>
      </c>
      <c r="K804" t="s">
        <v>32</v>
      </c>
      <c r="L804">
        <v>27</v>
      </c>
      <c r="M804" t="str">
        <f t="shared" si="12"/>
        <v>Adolescent0-30</v>
      </c>
      <c r="N804" t="s">
        <v>18</v>
      </c>
    </row>
    <row r="805" spans="1:14" x14ac:dyDescent="0.3">
      <c r="A805">
        <v>15255</v>
      </c>
      <c r="B805" t="s">
        <v>36</v>
      </c>
      <c r="C805" t="s">
        <v>40</v>
      </c>
      <c r="D805" s="3">
        <v>40000</v>
      </c>
      <c r="E805">
        <v>0</v>
      </c>
      <c r="F805" t="s">
        <v>27</v>
      </c>
      <c r="G805" t="s">
        <v>14</v>
      </c>
      <c r="H805" t="s">
        <v>15</v>
      </c>
      <c r="I805">
        <v>2</v>
      </c>
      <c r="J805" t="s">
        <v>23</v>
      </c>
      <c r="K805" t="s">
        <v>32</v>
      </c>
      <c r="L805">
        <v>28</v>
      </c>
      <c r="M805" t="str">
        <f t="shared" si="12"/>
        <v>Adolescent0-30</v>
      </c>
      <c r="N805" t="s">
        <v>15</v>
      </c>
    </row>
    <row r="806" spans="1:14" x14ac:dyDescent="0.3">
      <c r="A806">
        <v>13154</v>
      </c>
      <c r="B806" t="s">
        <v>36</v>
      </c>
      <c r="C806" t="s">
        <v>40</v>
      </c>
      <c r="D806" s="3">
        <v>40000</v>
      </c>
      <c r="E806">
        <v>0</v>
      </c>
      <c r="F806" t="s">
        <v>27</v>
      </c>
      <c r="G806" t="s">
        <v>14</v>
      </c>
      <c r="H806" t="s">
        <v>18</v>
      </c>
      <c r="I806">
        <v>2</v>
      </c>
      <c r="J806" t="s">
        <v>16</v>
      </c>
      <c r="K806" t="s">
        <v>32</v>
      </c>
      <c r="L806">
        <v>27</v>
      </c>
      <c r="M806" t="str">
        <f t="shared" si="12"/>
        <v>Adolescent0-30</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Age31-54</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Age31-54</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Age31-54</v>
      </c>
      <c r="N809" t="s">
        <v>15</v>
      </c>
    </row>
    <row r="810" spans="1:14" x14ac:dyDescent="0.3">
      <c r="A810">
        <v>17668</v>
      </c>
      <c r="B810" t="s">
        <v>37</v>
      </c>
      <c r="C810" t="s">
        <v>40</v>
      </c>
      <c r="D810" s="3">
        <v>30000</v>
      </c>
      <c r="E810">
        <v>2</v>
      </c>
      <c r="F810" t="s">
        <v>27</v>
      </c>
      <c r="G810" t="s">
        <v>14</v>
      </c>
      <c r="H810" t="s">
        <v>15</v>
      </c>
      <c r="I810">
        <v>2</v>
      </c>
      <c r="J810" t="s">
        <v>26</v>
      </c>
      <c r="K810" t="s">
        <v>32</v>
      </c>
      <c r="L810">
        <v>50</v>
      </c>
      <c r="M810" t="str">
        <f t="shared" si="12"/>
        <v>Middle Age31-54</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Age31-54</v>
      </c>
      <c r="N812" t="s">
        <v>15</v>
      </c>
    </row>
    <row r="813" spans="1:14" x14ac:dyDescent="0.3">
      <c r="A813">
        <v>25954</v>
      </c>
      <c r="B813" t="s">
        <v>36</v>
      </c>
      <c r="C813" t="s">
        <v>40</v>
      </c>
      <c r="D813" s="3">
        <v>60000</v>
      </c>
      <c r="E813">
        <v>0</v>
      </c>
      <c r="F813" t="s">
        <v>19</v>
      </c>
      <c r="G813" t="s">
        <v>14</v>
      </c>
      <c r="H813" t="s">
        <v>18</v>
      </c>
      <c r="I813">
        <v>2</v>
      </c>
      <c r="J813" t="s">
        <v>26</v>
      </c>
      <c r="K813" t="s">
        <v>32</v>
      </c>
      <c r="L813">
        <v>31</v>
      </c>
      <c r="M813" t="str">
        <f t="shared" si="12"/>
        <v>Middle Age31-54</v>
      </c>
      <c r="N813" t="s">
        <v>18</v>
      </c>
    </row>
    <row r="814" spans="1:14" x14ac:dyDescent="0.3">
      <c r="A814">
        <v>15749</v>
      </c>
      <c r="B814" t="s">
        <v>37</v>
      </c>
      <c r="C814" t="s">
        <v>39</v>
      </c>
      <c r="D814" s="3">
        <v>70000</v>
      </c>
      <c r="E814">
        <v>4</v>
      </c>
      <c r="F814" t="s">
        <v>13</v>
      </c>
      <c r="G814" t="s">
        <v>28</v>
      </c>
      <c r="H814" t="s">
        <v>15</v>
      </c>
      <c r="I814">
        <v>2</v>
      </c>
      <c r="J814" t="s">
        <v>44</v>
      </c>
      <c r="K814" t="s">
        <v>32</v>
      </c>
      <c r="L814">
        <v>61</v>
      </c>
      <c r="M814" t="str">
        <f t="shared" si="12"/>
        <v>Old 55+</v>
      </c>
      <c r="N814" t="s">
        <v>18</v>
      </c>
    </row>
    <row r="815" spans="1:14" x14ac:dyDescent="0.3">
      <c r="A815">
        <v>25899</v>
      </c>
      <c r="B815" t="s">
        <v>36</v>
      </c>
      <c r="C815" t="s">
        <v>39</v>
      </c>
      <c r="D815" s="3">
        <v>70000</v>
      </c>
      <c r="E815">
        <v>2</v>
      </c>
      <c r="F815" t="s">
        <v>27</v>
      </c>
      <c r="G815" t="s">
        <v>21</v>
      </c>
      <c r="H815" t="s">
        <v>15</v>
      </c>
      <c r="I815">
        <v>2</v>
      </c>
      <c r="J815" t="s">
        <v>44</v>
      </c>
      <c r="K815" t="s">
        <v>32</v>
      </c>
      <c r="L815">
        <v>53</v>
      </c>
      <c r="M815" t="str">
        <f t="shared" si="12"/>
        <v>Middle Age31-54</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40</v>
      </c>
      <c r="D817" s="3">
        <v>40000</v>
      </c>
      <c r="E817">
        <v>0</v>
      </c>
      <c r="F817" t="s">
        <v>19</v>
      </c>
      <c r="G817" t="s">
        <v>14</v>
      </c>
      <c r="H817" t="s">
        <v>18</v>
      </c>
      <c r="I817">
        <v>2</v>
      </c>
      <c r="J817" t="s">
        <v>26</v>
      </c>
      <c r="K817" t="s">
        <v>32</v>
      </c>
      <c r="L817">
        <v>30</v>
      </c>
      <c r="M817" t="str">
        <f t="shared" si="12"/>
        <v>Adolescent0-30</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Age31-54</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Age31-54</v>
      </c>
      <c r="N819" t="s">
        <v>15</v>
      </c>
    </row>
    <row r="820" spans="1:14" x14ac:dyDescent="0.3">
      <c r="A820">
        <v>24514</v>
      </c>
      <c r="B820" t="s">
        <v>36</v>
      </c>
      <c r="C820" t="s">
        <v>40</v>
      </c>
      <c r="D820" s="3">
        <v>40000</v>
      </c>
      <c r="E820">
        <v>0</v>
      </c>
      <c r="F820" t="s">
        <v>19</v>
      </c>
      <c r="G820" t="s">
        <v>14</v>
      </c>
      <c r="H820" t="s">
        <v>15</v>
      </c>
      <c r="I820">
        <v>1</v>
      </c>
      <c r="J820" t="s">
        <v>23</v>
      </c>
      <c r="K820" t="s">
        <v>32</v>
      </c>
      <c r="L820">
        <v>30</v>
      </c>
      <c r="M820" t="str">
        <f t="shared" si="12"/>
        <v>Adolescent0-30</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Adolescent0-30</v>
      </c>
      <c r="N821" t="s">
        <v>18</v>
      </c>
    </row>
    <row r="822" spans="1:14" x14ac:dyDescent="0.3">
      <c r="A822">
        <v>29243</v>
      </c>
      <c r="B822" t="s">
        <v>37</v>
      </c>
      <c r="C822" t="s">
        <v>40</v>
      </c>
      <c r="D822" s="3">
        <v>110000</v>
      </c>
      <c r="E822">
        <v>1</v>
      </c>
      <c r="F822" t="s">
        <v>13</v>
      </c>
      <c r="G822" t="s">
        <v>28</v>
      </c>
      <c r="H822" t="s">
        <v>15</v>
      </c>
      <c r="I822">
        <v>1</v>
      </c>
      <c r="J822" t="s">
        <v>23</v>
      </c>
      <c r="K822" t="s">
        <v>32</v>
      </c>
      <c r="L822">
        <v>43</v>
      </c>
      <c r="M822" t="str">
        <f t="shared" si="12"/>
        <v>Middle Age31-54</v>
      </c>
      <c r="N822" t="s">
        <v>18</v>
      </c>
    </row>
    <row r="823" spans="1:14" x14ac:dyDescent="0.3">
      <c r="A823">
        <v>26582</v>
      </c>
      <c r="B823" t="s">
        <v>36</v>
      </c>
      <c r="C823" t="s">
        <v>40</v>
      </c>
      <c r="D823" s="3">
        <v>60000</v>
      </c>
      <c r="E823">
        <v>0</v>
      </c>
      <c r="F823" t="s">
        <v>19</v>
      </c>
      <c r="G823" t="s">
        <v>14</v>
      </c>
      <c r="H823" t="s">
        <v>15</v>
      </c>
      <c r="I823">
        <v>2</v>
      </c>
      <c r="J823" t="s">
        <v>23</v>
      </c>
      <c r="K823" t="s">
        <v>32</v>
      </c>
      <c r="L823">
        <v>33</v>
      </c>
      <c r="M823" t="str">
        <f t="shared" si="12"/>
        <v>Middle Age31-54</v>
      </c>
      <c r="N823" t="s">
        <v>15</v>
      </c>
    </row>
    <row r="824" spans="1:14" x14ac:dyDescent="0.3">
      <c r="A824">
        <v>14271</v>
      </c>
      <c r="B824" t="s">
        <v>36</v>
      </c>
      <c r="C824" t="s">
        <v>40</v>
      </c>
      <c r="D824" s="3">
        <v>30000</v>
      </c>
      <c r="E824">
        <v>0</v>
      </c>
      <c r="F824" t="s">
        <v>27</v>
      </c>
      <c r="G824" t="s">
        <v>14</v>
      </c>
      <c r="H824" t="s">
        <v>15</v>
      </c>
      <c r="I824">
        <v>2</v>
      </c>
      <c r="J824" t="s">
        <v>23</v>
      </c>
      <c r="K824" t="s">
        <v>32</v>
      </c>
      <c r="L824">
        <v>32</v>
      </c>
      <c r="M824" t="str">
        <f t="shared" si="12"/>
        <v>Middle Age31-54</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Age31-54</v>
      </c>
      <c r="N825" t="s">
        <v>15</v>
      </c>
    </row>
    <row r="826" spans="1:14" x14ac:dyDescent="0.3">
      <c r="A826">
        <v>29048</v>
      </c>
      <c r="B826" t="s">
        <v>37</v>
      </c>
      <c r="C826" t="s">
        <v>40</v>
      </c>
      <c r="D826" s="3">
        <v>110000</v>
      </c>
      <c r="E826">
        <v>2</v>
      </c>
      <c r="F826" t="s">
        <v>13</v>
      </c>
      <c r="G826" t="s">
        <v>28</v>
      </c>
      <c r="H826" t="s">
        <v>18</v>
      </c>
      <c r="I826">
        <v>3</v>
      </c>
      <c r="J826" t="s">
        <v>16</v>
      </c>
      <c r="K826" t="s">
        <v>32</v>
      </c>
      <c r="L826">
        <v>37</v>
      </c>
      <c r="M826" t="str">
        <f t="shared" si="12"/>
        <v>Middle Age31-54</v>
      </c>
      <c r="N826" t="s">
        <v>15</v>
      </c>
    </row>
    <row r="827" spans="1:14" x14ac:dyDescent="0.3">
      <c r="A827">
        <v>24433</v>
      </c>
      <c r="B827" t="s">
        <v>36</v>
      </c>
      <c r="C827" t="s">
        <v>40</v>
      </c>
      <c r="D827" s="3">
        <v>70000</v>
      </c>
      <c r="E827">
        <v>3</v>
      </c>
      <c r="F827" t="s">
        <v>27</v>
      </c>
      <c r="G827" t="s">
        <v>21</v>
      </c>
      <c r="H827" t="s">
        <v>18</v>
      </c>
      <c r="I827">
        <v>1</v>
      </c>
      <c r="J827" t="s">
        <v>26</v>
      </c>
      <c r="K827" t="s">
        <v>32</v>
      </c>
      <c r="L827">
        <v>52</v>
      </c>
      <c r="M827" t="str">
        <f t="shared" si="12"/>
        <v>Middle Age31-54</v>
      </c>
      <c r="N827" t="s">
        <v>15</v>
      </c>
    </row>
    <row r="828" spans="1:14" x14ac:dyDescent="0.3">
      <c r="A828">
        <v>15501</v>
      </c>
      <c r="B828" t="s">
        <v>36</v>
      </c>
      <c r="C828" t="s">
        <v>40</v>
      </c>
      <c r="D828" s="3">
        <v>70000</v>
      </c>
      <c r="E828">
        <v>4</v>
      </c>
      <c r="F828" t="s">
        <v>31</v>
      </c>
      <c r="G828" t="s">
        <v>21</v>
      </c>
      <c r="H828" t="s">
        <v>15</v>
      </c>
      <c r="I828">
        <v>0</v>
      </c>
      <c r="J828" t="s">
        <v>22</v>
      </c>
      <c r="K828" t="s">
        <v>32</v>
      </c>
      <c r="L828">
        <v>36</v>
      </c>
      <c r="M828" t="str">
        <f t="shared" si="12"/>
        <v>Middle Age31-54</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Age31-54</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Adolescent0-30</v>
      </c>
      <c r="N830" t="s">
        <v>18</v>
      </c>
    </row>
    <row r="831" spans="1:14" x14ac:dyDescent="0.3">
      <c r="A831">
        <v>16009</v>
      </c>
      <c r="B831" t="s">
        <v>37</v>
      </c>
      <c r="C831" t="s">
        <v>40</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40</v>
      </c>
      <c r="D832" s="3">
        <v>60000</v>
      </c>
      <c r="E832">
        <v>2</v>
      </c>
      <c r="F832" t="s">
        <v>27</v>
      </c>
      <c r="G832" t="s">
        <v>21</v>
      </c>
      <c r="H832" t="s">
        <v>18</v>
      </c>
      <c r="I832">
        <v>2</v>
      </c>
      <c r="J832" t="s">
        <v>23</v>
      </c>
      <c r="K832" t="s">
        <v>32</v>
      </c>
      <c r="L832">
        <v>51</v>
      </c>
      <c r="M832" t="str">
        <f t="shared" si="12"/>
        <v>Middle Age31-54</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Age31-54</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Age31-54</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 "Old 55+", IF(L835&gt;=31, "Middle Age31-54",IF(L835&lt;31,"Adolescent0-30","Invalid")))</f>
        <v>Middle Age31-54</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Age31-54</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Age31-54</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Adolescent0-30</v>
      </c>
      <c r="N838" t="s">
        <v>18</v>
      </c>
    </row>
    <row r="839" spans="1:14" x14ac:dyDescent="0.3">
      <c r="A839">
        <v>16773</v>
      </c>
      <c r="B839" t="s">
        <v>36</v>
      </c>
      <c r="C839" t="s">
        <v>40</v>
      </c>
      <c r="D839" s="3">
        <v>60000</v>
      </c>
      <c r="E839">
        <v>1</v>
      </c>
      <c r="F839" t="s">
        <v>31</v>
      </c>
      <c r="G839" t="s">
        <v>14</v>
      </c>
      <c r="H839" t="s">
        <v>15</v>
      </c>
      <c r="I839">
        <v>0</v>
      </c>
      <c r="J839" t="s">
        <v>16</v>
      </c>
      <c r="K839" t="s">
        <v>32</v>
      </c>
      <c r="L839">
        <v>33</v>
      </c>
      <c r="M839" t="str">
        <f t="shared" si="13"/>
        <v>Middle Age31-54</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Age31-54</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Age31-54</v>
      </c>
      <c r="N841" t="s">
        <v>15</v>
      </c>
    </row>
    <row r="842" spans="1:14" x14ac:dyDescent="0.3">
      <c r="A842">
        <v>11233</v>
      </c>
      <c r="B842" t="s">
        <v>36</v>
      </c>
      <c r="C842" t="s">
        <v>40</v>
      </c>
      <c r="D842" s="3">
        <v>70000</v>
      </c>
      <c r="E842">
        <v>4</v>
      </c>
      <c r="F842" t="s">
        <v>19</v>
      </c>
      <c r="G842" t="s">
        <v>21</v>
      </c>
      <c r="H842" t="s">
        <v>15</v>
      </c>
      <c r="I842">
        <v>2</v>
      </c>
      <c r="J842" t="s">
        <v>44</v>
      </c>
      <c r="K842" t="s">
        <v>32</v>
      </c>
      <c r="L842">
        <v>53</v>
      </c>
      <c r="M842" t="str">
        <f t="shared" si="13"/>
        <v>Middle Age31-54</v>
      </c>
      <c r="N842" t="s">
        <v>18</v>
      </c>
    </row>
    <row r="843" spans="1:14" x14ac:dyDescent="0.3">
      <c r="A843">
        <v>12056</v>
      </c>
      <c r="B843" t="s">
        <v>36</v>
      </c>
      <c r="C843" t="s">
        <v>40</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Age31-54</v>
      </c>
      <c r="N844" t="s">
        <v>15</v>
      </c>
    </row>
    <row r="845" spans="1:14" x14ac:dyDescent="0.3">
      <c r="A845">
        <v>18423</v>
      </c>
      <c r="B845" t="s">
        <v>37</v>
      </c>
      <c r="C845" t="s">
        <v>40</v>
      </c>
      <c r="D845" s="3">
        <v>80000</v>
      </c>
      <c r="E845">
        <v>2</v>
      </c>
      <c r="F845" t="s">
        <v>29</v>
      </c>
      <c r="G845" t="s">
        <v>14</v>
      </c>
      <c r="H845" t="s">
        <v>18</v>
      </c>
      <c r="I845">
        <v>2</v>
      </c>
      <c r="J845" t="s">
        <v>26</v>
      </c>
      <c r="K845" t="s">
        <v>32</v>
      </c>
      <c r="L845">
        <v>52</v>
      </c>
      <c r="M845" t="str">
        <f t="shared" si="13"/>
        <v>Middle Age31-54</v>
      </c>
      <c r="N845" t="s">
        <v>18</v>
      </c>
    </row>
    <row r="846" spans="1:14" x14ac:dyDescent="0.3">
      <c r="A846">
        <v>22743</v>
      </c>
      <c r="B846" t="s">
        <v>36</v>
      </c>
      <c r="C846" t="s">
        <v>39</v>
      </c>
      <c r="D846" s="3">
        <v>40000</v>
      </c>
      <c r="E846">
        <v>5</v>
      </c>
      <c r="F846" t="s">
        <v>27</v>
      </c>
      <c r="G846" t="s">
        <v>21</v>
      </c>
      <c r="H846" t="s">
        <v>15</v>
      </c>
      <c r="I846">
        <v>2</v>
      </c>
      <c r="J846" t="s">
        <v>44</v>
      </c>
      <c r="K846" t="s">
        <v>32</v>
      </c>
      <c r="L846">
        <v>60</v>
      </c>
      <c r="M846" t="str">
        <f t="shared" si="13"/>
        <v>Old 55+</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Age31-54</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Adolescent0-30</v>
      </c>
      <c r="N849" t="s">
        <v>18</v>
      </c>
    </row>
    <row r="850" spans="1:14" x14ac:dyDescent="0.3">
      <c r="A850">
        <v>13176</v>
      </c>
      <c r="B850" t="s">
        <v>37</v>
      </c>
      <c r="C850" t="s">
        <v>40</v>
      </c>
      <c r="D850" s="3">
        <v>130000</v>
      </c>
      <c r="E850">
        <v>0</v>
      </c>
      <c r="F850" t="s">
        <v>31</v>
      </c>
      <c r="G850" t="s">
        <v>28</v>
      </c>
      <c r="H850" t="s">
        <v>18</v>
      </c>
      <c r="I850">
        <v>2</v>
      </c>
      <c r="J850" t="s">
        <v>16</v>
      </c>
      <c r="K850" t="s">
        <v>32</v>
      </c>
      <c r="L850">
        <v>38</v>
      </c>
      <c r="M850" t="str">
        <f t="shared" si="13"/>
        <v>Middle Age31-54</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40</v>
      </c>
      <c r="D853" s="3">
        <v>60000</v>
      </c>
      <c r="E853">
        <v>0</v>
      </c>
      <c r="F853" t="s">
        <v>19</v>
      </c>
      <c r="G853" t="s">
        <v>14</v>
      </c>
      <c r="H853" t="s">
        <v>15</v>
      </c>
      <c r="I853">
        <v>1</v>
      </c>
      <c r="J853" t="s">
        <v>23</v>
      </c>
      <c r="K853" t="s">
        <v>32</v>
      </c>
      <c r="L853">
        <v>32</v>
      </c>
      <c r="M853" t="str">
        <f t="shared" si="13"/>
        <v>Middle Age31-54</v>
      </c>
      <c r="N853" t="s">
        <v>15</v>
      </c>
    </row>
    <row r="854" spans="1:14" x14ac:dyDescent="0.3">
      <c r="A854">
        <v>21613</v>
      </c>
      <c r="B854" t="s">
        <v>37</v>
      </c>
      <c r="C854" t="s">
        <v>40</v>
      </c>
      <c r="D854" s="3">
        <v>50000</v>
      </c>
      <c r="E854">
        <v>2</v>
      </c>
      <c r="F854" t="s">
        <v>13</v>
      </c>
      <c r="G854" t="s">
        <v>14</v>
      </c>
      <c r="H854" t="s">
        <v>18</v>
      </c>
      <c r="I854">
        <v>1</v>
      </c>
      <c r="J854" t="s">
        <v>16</v>
      </c>
      <c r="K854" t="s">
        <v>32</v>
      </c>
      <c r="L854">
        <v>39</v>
      </c>
      <c r="M854" t="str">
        <f t="shared" si="13"/>
        <v>Middle Age31-54</v>
      </c>
      <c r="N854" t="s">
        <v>15</v>
      </c>
    </row>
    <row r="855" spans="1:14" x14ac:dyDescent="0.3">
      <c r="A855">
        <v>24801</v>
      </c>
      <c r="B855" t="s">
        <v>37</v>
      </c>
      <c r="C855" t="s">
        <v>40</v>
      </c>
      <c r="D855" s="3">
        <v>60000</v>
      </c>
      <c r="E855">
        <v>1</v>
      </c>
      <c r="F855" t="s">
        <v>31</v>
      </c>
      <c r="G855" t="s">
        <v>21</v>
      </c>
      <c r="H855" t="s">
        <v>15</v>
      </c>
      <c r="I855">
        <v>0</v>
      </c>
      <c r="J855" t="s">
        <v>22</v>
      </c>
      <c r="K855" t="s">
        <v>32</v>
      </c>
      <c r="L855">
        <v>35</v>
      </c>
      <c r="M855" t="str">
        <f t="shared" si="13"/>
        <v>Middle Age31-54</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Age31-54</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Age31-54</v>
      </c>
      <c r="N857" t="s">
        <v>18</v>
      </c>
    </row>
    <row r="858" spans="1:14" x14ac:dyDescent="0.3">
      <c r="A858">
        <v>29052</v>
      </c>
      <c r="B858" t="s">
        <v>37</v>
      </c>
      <c r="C858" t="s">
        <v>40</v>
      </c>
      <c r="D858" s="3">
        <v>40000</v>
      </c>
      <c r="E858">
        <v>0</v>
      </c>
      <c r="F858" t="s">
        <v>19</v>
      </c>
      <c r="G858" t="s">
        <v>14</v>
      </c>
      <c r="H858" t="s">
        <v>15</v>
      </c>
      <c r="I858">
        <v>1</v>
      </c>
      <c r="J858" t="s">
        <v>23</v>
      </c>
      <c r="K858" t="s">
        <v>32</v>
      </c>
      <c r="L858">
        <v>27</v>
      </c>
      <c r="M858" t="str">
        <f t="shared" si="13"/>
        <v>Adolescent0-30</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Age31-54</v>
      </c>
      <c r="N859" t="s">
        <v>15</v>
      </c>
    </row>
    <row r="860" spans="1:14" x14ac:dyDescent="0.3">
      <c r="A860">
        <v>19147</v>
      </c>
      <c r="B860" t="s">
        <v>36</v>
      </c>
      <c r="C860" t="s">
        <v>40</v>
      </c>
      <c r="D860" s="3">
        <v>40000</v>
      </c>
      <c r="E860">
        <v>0</v>
      </c>
      <c r="F860" t="s">
        <v>13</v>
      </c>
      <c r="G860" t="s">
        <v>21</v>
      </c>
      <c r="H860" t="s">
        <v>18</v>
      </c>
      <c r="I860">
        <v>1</v>
      </c>
      <c r="J860" t="s">
        <v>16</v>
      </c>
      <c r="K860" t="s">
        <v>32</v>
      </c>
      <c r="L860">
        <v>42</v>
      </c>
      <c r="M860" t="str">
        <f t="shared" si="13"/>
        <v>Middle Age31-54</v>
      </c>
      <c r="N860" t="s">
        <v>18</v>
      </c>
    </row>
    <row r="861" spans="1:14" x14ac:dyDescent="0.3">
      <c r="A861">
        <v>19217</v>
      </c>
      <c r="B861" t="s">
        <v>36</v>
      </c>
      <c r="C861" t="s">
        <v>40</v>
      </c>
      <c r="D861" s="3">
        <v>30000</v>
      </c>
      <c r="E861">
        <v>2</v>
      </c>
      <c r="F861" t="s">
        <v>27</v>
      </c>
      <c r="G861" t="s">
        <v>14</v>
      </c>
      <c r="H861" t="s">
        <v>15</v>
      </c>
      <c r="I861">
        <v>2</v>
      </c>
      <c r="J861" t="s">
        <v>26</v>
      </c>
      <c r="K861" t="s">
        <v>32</v>
      </c>
      <c r="L861">
        <v>49</v>
      </c>
      <c r="M861" t="str">
        <f t="shared" si="13"/>
        <v>Middle Age31-54</v>
      </c>
      <c r="N861" t="s">
        <v>18</v>
      </c>
    </row>
    <row r="862" spans="1:14" x14ac:dyDescent="0.3">
      <c r="A862">
        <v>15839</v>
      </c>
      <c r="B862" t="s">
        <v>37</v>
      </c>
      <c r="C862" t="s">
        <v>40</v>
      </c>
      <c r="D862" s="3">
        <v>30000</v>
      </c>
      <c r="E862">
        <v>0</v>
      </c>
      <c r="F862" t="s">
        <v>19</v>
      </c>
      <c r="G862" t="s">
        <v>14</v>
      </c>
      <c r="H862" t="s">
        <v>15</v>
      </c>
      <c r="I862">
        <v>1</v>
      </c>
      <c r="J862" t="s">
        <v>23</v>
      </c>
      <c r="K862" t="s">
        <v>32</v>
      </c>
      <c r="L862">
        <v>32</v>
      </c>
      <c r="M862" t="str">
        <f t="shared" si="13"/>
        <v>Middle Age31-54</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Age31-54</v>
      </c>
      <c r="N863" t="s">
        <v>15</v>
      </c>
    </row>
    <row r="864" spans="1:14" x14ac:dyDescent="0.3">
      <c r="A864">
        <v>22330</v>
      </c>
      <c r="B864" t="s">
        <v>36</v>
      </c>
      <c r="C864" t="s">
        <v>40</v>
      </c>
      <c r="D864" s="3">
        <v>50000</v>
      </c>
      <c r="E864">
        <v>0</v>
      </c>
      <c r="F864" t="s">
        <v>31</v>
      </c>
      <c r="G864" t="s">
        <v>14</v>
      </c>
      <c r="H864" t="s">
        <v>15</v>
      </c>
      <c r="I864">
        <v>0</v>
      </c>
      <c r="J864" t="s">
        <v>26</v>
      </c>
      <c r="K864" t="s">
        <v>32</v>
      </c>
      <c r="L864">
        <v>32</v>
      </c>
      <c r="M864" t="str">
        <f t="shared" si="13"/>
        <v>Middle Age31-54</v>
      </c>
      <c r="N864" t="s">
        <v>15</v>
      </c>
    </row>
    <row r="865" spans="1:14" x14ac:dyDescent="0.3">
      <c r="A865">
        <v>18783</v>
      </c>
      <c r="B865" t="s">
        <v>37</v>
      </c>
      <c r="C865" t="s">
        <v>40</v>
      </c>
      <c r="D865" s="3">
        <v>80000</v>
      </c>
      <c r="E865">
        <v>0</v>
      </c>
      <c r="F865" t="s">
        <v>13</v>
      </c>
      <c r="G865" t="s">
        <v>28</v>
      </c>
      <c r="H865" t="s">
        <v>18</v>
      </c>
      <c r="I865">
        <v>1</v>
      </c>
      <c r="J865" t="s">
        <v>16</v>
      </c>
      <c r="K865" t="s">
        <v>32</v>
      </c>
      <c r="L865">
        <v>38</v>
      </c>
      <c r="M865" t="str">
        <f t="shared" si="13"/>
        <v>Middle Age31-54</v>
      </c>
      <c r="N865" t="s">
        <v>15</v>
      </c>
    </row>
    <row r="866" spans="1:14" x14ac:dyDescent="0.3">
      <c r="A866">
        <v>25041</v>
      </c>
      <c r="B866" t="s">
        <v>37</v>
      </c>
      <c r="C866" t="s">
        <v>40</v>
      </c>
      <c r="D866" s="3">
        <v>40000</v>
      </c>
      <c r="E866">
        <v>0</v>
      </c>
      <c r="F866" t="s">
        <v>27</v>
      </c>
      <c r="G866" t="s">
        <v>14</v>
      </c>
      <c r="H866" t="s">
        <v>15</v>
      </c>
      <c r="I866">
        <v>2</v>
      </c>
      <c r="J866" t="s">
        <v>23</v>
      </c>
      <c r="K866" t="s">
        <v>32</v>
      </c>
      <c r="L866">
        <v>31</v>
      </c>
      <c r="M866" t="str">
        <f t="shared" si="13"/>
        <v>Middle Age31-54</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Age31-54</v>
      </c>
      <c r="N867" t="s">
        <v>15</v>
      </c>
    </row>
    <row r="868" spans="1:14" x14ac:dyDescent="0.3">
      <c r="A868">
        <v>28052</v>
      </c>
      <c r="B868" t="s">
        <v>36</v>
      </c>
      <c r="C868" t="s">
        <v>40</v>
      </c>
      <c r="D868" s="3">
        <v>60000</v>
      </c>
      <c r="E868">
        <v>2</v>
      </c>
      <c r="F868" t="s">
        <v>27</v>
      </c>
      <c r="G868" t="s">
        <v>21</v>
      </c>
      <c r="H868" t="s">
        <v>15</v>
      </c>
      <c r="I868">
        <v>2</v>
      </c>
      <c r="J868" t="s">
        <v>44</v>
      </c>
      <c r="K868" t="s">
        <v>32</v>
      </c>
      <c r="L868">
        <v>55</v>
      </c>
      <c r="M868" t="str">
        <f t="shared" si="13"/>
        <v>Middle Age31-54</v>
      </c>
      <c r="N868" t="s">
        <v>18</v>
      </c>
    </row>
    <row r="869" spans="1:14" x14ac:dyDescent="0.3">
      <c r="A869">
        <v>26693</v>
      </c>
      <c r="B869" t="s">
        <v>36</v>
      </c>
      <c r="C869" t="s">
        <v>40</v>
      </c>
      <c r="D869" s="3">
        <v>70000</v>
      </c>
      <c r="E869">
        <v>3</v>
      </c>
      <c r="F869" t="s">
        <v>19</v>
      </c>
      <c r="G869" t="s">
        <v>21</v>
      </c>
      <c r="H869" t="s">
        <v>15</v>
      </c>
      <c r="I869">
        <v>1</v>
      </c>
      <c r="J869" t="s">
        <v>23</v>
      </c>
      <c r="K869" t="s">
        <v>32</v>
      </c>
      <c r="L869">
        <v>49</v>
      </c>
      <c r="M869" t="str">
        <f t="shared" si="13"/>
        <v>Middle Age31-54</v>
      </c>
      <c r="N869" t="s">
        <v>18</v>
      </c>
    </row>
    <row r="870" spans="1:14" x14ac:dyDescent="0.3">
      <c r="A870">
        <v>24955</v>
      </c>
      <c r="B870" t="s">
        <v>37</v>
      </c>
      <c r="C870" t="s">
        <v>40</v>
      </c>
      <c r="D870" s="3">
        <v>30000</v>
      </c>
      <c r="E870">
        <v>5</v>
      </c>
      <c r="F870" t="s">
        <v>29</v>
      </c>
      <c r="G870" t="s">
        <v>14</v>
      </c>
      <c r="H870" t="s">
        <v>15</v>
      </c>
      <c r="I870">
        <v>3</v>
      </c>
      <c r="J870" t="s">
        <v>44</v>
      </c>
      <c r="K870" t="s">
        <v>32</v>
      </c>
      <c r="L870">
        <v>60</v>
      </c>
      <c r="M870" t="str">
        <f t="shared" si="13"/>
        <v>Old 55+</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Age31-54</v>
      </c>
      <c r="N871" t="s">
        <v>18</v>
      </c>
    </row>
    <row r="872" spans="1:14" x14ac:dyDescent="0.3">
      <c r="A872">
        <v>13942</v>
      </c>
      <c r="B872" t="s">
        <v>36</v>
      </c>
      <c r="C872" t="s">
        <v>40</v>
      </c>
      <c r="D872" s="3">
        <v>60000</v>
      </c>
      <c r="E872">
        <v>1</v>
      </c>
      <c r="F872" t="s">
        <v>19</v>
      </c>
      <c r="G872" t="s">
        <v>14</v>
      </c>
      <c r="H872" t="s">
        <v>15</v>
      </c>
      <c r="I872">
        <v>1</v>
      </c>
      <c r="J872" t="s">
        <v>16</v>
      </c>
      <c r="K872" t="s">
        <v>32</v>
      </c>
      <c r="L872">
        <v>46</v>
      </c>
      <c r="M872" t="str">
        <f t="shared" si="13"/>
        <v>Middle Age31-54</v>
      </c>
      <c r="N872" t="s">
        <v>18</v>
      </c>
    </row>
    <row r="873" spans="1:14" x14ac:dyDescent="0.3">
      <c r="A873">
        <v>11219</v>
      </c>
      <c r="B873" t="s">
        <v>36</v>
      </c>
      <c r="C873" t="s">
        <v>40</v>
      </c>
      <c r="D873" s="3">
        <v>60000</v>
      </c>
      <c r="E873">
        <v>2</v>
      </c>
      <c r="F873" t="s">
        <v>27</v>
      </c>
      <c r="G873" t="s">
        <v>21</v>
      </c>
      <c r="H873" t="s">
        <v>15</v>
      </c>
      <c r="I873">
        <v>2</v>
      </c>
      <c r="J873" t="s">
        <v>44</v>
      </c>
      <c r="K873" t="s">
        <v>32</v>
      </c>
      <c r="L873">
        <v>55</v>
      </c>
      <c r="M873" t="str">
        <f t="shared" si="13"/>
        <v>Middle Age31-54</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Age31-54</v>
      </c>
      <c r="N874" t="s">
        <v>15</v>
      </c>
    </row>
    <row r="875" spans="1:14" x14ac:dyDescent="0.3">
      <c r="A875">
        <v>23197</v>
      </c>
      <c r="B875" t="s">
        <v>36</v>
      </c>
      <c r="C875" t="s">
        <v>40</v>
      </c>
      <c r="D875" s="3">
        <v>50000</v>
      </c>
      <c r="E875">
        <v>3</v>
      </c>
      <c r="F875" t="s">
        <v>13</v>
      </c>
      <c r="G875" t="s">
        <v>14</v>
      </c>
      <c r="H875" t="s">
        <v>15</v>
      </c>
      <c r="I875">
        <v>2</v>
      </c>
      <c r="J875" t="s">
        <v>22</v>
      </c>
      <c r="K875" t="s">
        <v>32</v>
      </c>
      <c r="L875">
        <v>40</v>
      </c>
      <c r="M875" t="str">
        <f t="shared" si="13"/>
        <v>Middle Age31-54</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Age31-54</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Age31-54</v>
      </c>
      <c r="N877" t="s">
        <v>15</v>
      </c>
    </row>
    <row r="878" spans="1:14" x14ac:dyDescent="0.3">
      <c r="A878">
        <v>18322</v>
      </c>
      <c r="B878" t="s">
        <v>37</v>
      </c>
      <c r="C878" t="s">
        <v>40</v>
      </c>
      <c r="D878" s="3">
        <v>30000</v>
      </c>
      <c r="E878">
        <v>0</v>
      </c>
      <c r="F878" t="s">
        <v>29</v>
      </c>
      <c r="G878" t="s">
        <v>20</v>
      </c>
      <c r="H878" t="s">
        <v>18</v>
      </c>
      <c r="I878">
        <v>2</v>
      </c>
      <c r="J878" t="s">
        <v>16</v>
      </c>
      <c r="K878" t="s">
        <v>32</v>
      </c>
      <c r="L878">
        <v>26</v>
      </c>
      <c r="M878" t="str">
        <f t="shared" si="13"/>
        <v>Adolescent0-30</v>
      </c>
      <c r="N878" t="s">
        <v>18</v>
      </c>
    </row>
    <row r="879" spans="1:14" x14ac:dyDescent="0.3">
      <c r="A879">
        <v>15879</v>
      </c>
      <c r="B879" t="s">
        <v>36</v>
      </c>
      <c r="C879" t="s">
        <v>40</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40</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40</v>
      </c>
      <c r="D881" s="3">
        <v>90000</v>
      </c>
      <c r="E881">
        <v>4</v>
      </c>
      <c r="F881" t="s">
        <v>27</v>
      </c>
      <c r="G881" t="s">
        <v>21</v>
      </c>
      <c r="H881" t="s">
        <v>15</v>
      </c>
      <c r="I881">
        <v>2</v>
      </c>
      <c r="J881" t="s">
        <v>26</v>
      </c>
      <c r="K881" t="s">
        <v>32</v>
      </c>
      <c r="L881">
        <v>45</v>
      </c>
      <c r="M881" t="str">
        <f t="shared" si="13"/>
        <v>Middle Age31-54</v>
      </c>
      <c r="N881" t="s">
        <v>18</v>
      </c>
    </row>
    <row r="882" spans="1:14" x14ac:dyDescent="0.3">
      <c r="A882">
        <v>28066</v>
      </c>
      <c r="B882" t="s">
        <v>36</v>
      </c>
      <c r="C882" t="s">
        <v>40</v>
      </c>
      <c r="D882" s="3">
        <v>80000</v>
      </c>
      <c r="E882">
        <v>2</v>
      </c>
      <c r="F882" t="s">
        <v>31</v>
      </c>
      <c r="G882" t="s">
        <v>21</v>
      </c>
      <c r="H882" t="s">
        <v>15</v>
      </c>
      <c r="I882">
        <v>0</v>
      </c>
      <c r="J882" t="s">
        <v>16</v>
      </c>
      <c r="K882" t="s">
        <v>32</v>
      </c>
      <c r="L882">
        <v>37</v>
      </c>
      <c r="M882" t="str">
        <f t="shared" si="13"/>
        <v>Middle Age31-54</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40</v>
      </c>
      <c r="D884" s="3">
        <v>30000</v>
      </c>
      <c r="E884">
        <v>0</v>
      </c>
      <c r="F884" t="s">
        <v>31</v>
      </c>
      <c r="G884" t="s">
        <v>14</v>
      </c>
      <c r="H884" t="s">
        <v>15</v>
      </c>
      <c r="I884">
        <v>0</v>
      </c>
      <c r="J884" t="s">
        <v>16</v>
      </c>
      <c r="K884" t="s">
        <v>32</v>
      </c>
      <c r="L884">
        <v>32</v>
      </c>
      <c r="M884" t="str">
        <f t="shared" si="13"/>
        <v>Middle Age31-54</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Age31-54</v>
      </c>
      <c r="N885" t="s">
        <v>15</v>
      </c>
    </row>
    <row r="886" spans="1:14" x14ac:dyDescent="0.3">
      <c r="A886">
        <v>19731</v>
      </c>
      <c r="B886" t="s">
        <v>36</v>
      </c>
      <c r="C886" t="s">
        <v>40</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Age31-54</v>
      </c>
      <c r="N887" t="s">
        <v>18</v>
      </c>
    </row>
    <row r="888" spans="1:14" x14ac:dyDescent="0.3">
      <c r="A888">
        <v>11807</v>
      </c>
      <c r="B888" t="s">
        <v>36</v>
      </c>
      <c r="C888" t="s">
        <v>40</v>
      </c>
      <c r="D888" s="3">
        <v>70000</v>
      </c>
      <c r="E888">
        <v>3</v>
      </c>
      <c r="F888" t="s">
        <v>31</v>
      </c>
      <c r="G888" t="s">
        <v>21</v>
      </c>
      <c r="H888" t="s">
        <v>15</v>
      </c>
      <c r="I888">
        <v>0</v>
      </c>
      <c r="J888" t="s">
        <v>22</v>
      </c>
      <c r="K888" t="s">
        <v>32</v>
      </c>
      <c r="L888">
        <v>34</v>
      </c>
      <c r="M888" t="str">
        <f t="shared" si="13"/>
        <v>Middle Age31-54</v>
      </c>
      <c r="N888" t="s">
        <v>18</v>
      </c>
    </row>
    <row r="889" spans="1:14" x14ac:dyDescent="0.3">
      <c r="A889">
        <v>11622</v>
      </c>
      <c r="B889" t="s">
        <v>36</v>
      </c>
      <c r="C889" t="s">
        <v>40</v>
      </c>
      <c r="D889" s="3">
        <v>50000</v>
      </c>
      <c r="E889">
        <v>0</v>
      </c>
      <c r="F889" t="s">
        <v>31</v>
      </c>
      <c r="G889" t="s">
        <v>14</v>
      </c>
      <c r="H889" t="s">
        <v>15</v>
      </c>
      <c r="I889">
        <v>0</v>
      </c>
      <c r="J889" t="s">
        <v>16</v>
      </c>
      <c r="K889" t="s">
        <v>32</v>
      </c>
      <c r="L889">
        <v>32</v>
      </c>
      <c r="M889" t="str">
        <f t="shared" si="13"/>
        <v>Middle Age31-54</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Age31-54</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Age31-54</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Age31-54</v>
      </c>
      <c r="N892" t="s">
        <v>18</v>
      </c>
    </row>
    <row r="893" spans="1:14" x14ac:dyDescent="0.3">
      <c r="A893">
        <v>13415</v>
      </c>
      <c r="B893" t="s">
        <v>37</v>
      </c>
      <c r="C893" t="s">
        <v>40</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Age31-54</v>
      </c>
      <c r="N894" t="s">
        <v>15</v>
      </c>
    </row>
    <row r="895" spans="1:14" x14ac:dyDescent="0.3">
      <c r="A895">
        <v>14569</v>
      </c>
      <c r="B895" t="s">
        <v>36</v>
      </c>
      <c r="C895" t="s">
        <v>40</v>
      </c>
      <c r="D895" s="3">
        <v>60000</v>
      </c>
      <c r="E895">
        <v>1</v>
      </c>
      <c r="F895" t="s">
        <v>31</v>
      </c>
      <c r="G895" t="s">
        <v>21</v>
      </c>
      <c r="H895" t="s">
        <v>15</v>
      </c>
      <c r="I895">
        <v>0</v>
      </c>
      <c r="J895" t="s">
        <v>16</v>
      </c>
      <c r="K895" t="s">
        <v>32</v>
      </c>
      <c r="L895">
        <v>35</v>
      </c>
      <c r="M895" t="str">
        <f t="shared" si="13"/>
        <v>Middle Age31-54</v>
      </c>
      <c r="N895" t="s">
        <v>18</v>
      </c>
    </row>
    <row r="896" spans="1:14" x14ac:dyDescent="0.3">
      <c r="A896">
        <v>13873</v>
      </c>
      <c r="B896" t="s">
        <v>36</v>
      </c>
      <c r="C896" t="s">
        <v>40</v>
      </c>
      <c r="D896" s="3">
        <v>70000</v>
      </c>
      <c r="E896">
        <v>3</v>
      </c>
      <c r="F896" t="s">
        <v>31</v>
      </c>
      <c r="G896" t="s">
        <v>21</v>
      </c>
      <c r="H896" t="s">
        <v>15</v>
      </c>
      <c r="I896">
        <v>0</v>
      </c>
      <c r="J896" t="s">
        <v>16</v>
      </c>
      <c r="K896" t="s">
        <v>32</v>
      </c>
      <c r="L896">
        <v>35</v>
      </c>
      <c r="M896" t="str">
        <f t="shared" si="13"/>
        <v>Middle Age31-54</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Age31-54</v>
      </c>
      <c r="N898" t="s">
        <v>15</v>
      </c>
    </row>
    <row r="899" spans="1:14" x14ac:dyDescent="0.3">
      <c r="A899">
        <v>12029</v>
      </c>
      <c r="B899" t="s">
        <v>36</v>
      </c>
      <c r="C899" t="s">
        <v>40</v>
      </c>
      <c r="D899" s="3">
        <v>30000</v>
      </c>
      <c r="E899">
        <v>0</v>
      </c>
      <c r="F899" t="s">
        <v>29</v>
      </c>
      <c r="G899" t="s">
        <v>20</v>
      </c>
      <c r="H899" t="s">
        <v>18</v>
      </c>
      <c r="I899">
        <v>2</v>
      </c>
      <c r="J899" t="s">
        <v>16</v>
      </c>
      <c r="K899" t="s">
        <v>32</v>
      </c>
      <c r="L899">
        <v>28</v>
      </c>
      <c r="M899" t="str">
        <f t="shared" ref="M899:M962" si="14">IF(L899&gt;55, "Old 55+", IF(L899&gt;=31, "Middle Age31-54",IF(L899&lt;31,"Adolescent0-30","Invalid")))</f>
        <v>Adolescent0-30</v>
      </c>
      <c r="N899" t="s">
        <v>18</v>
      </c>
    </row>
    <row r="900" spans="1:14" x14ac:dyDescent="0.3">
      <c r="A900">
        <v>18066</v>
      </c>
      <c r="B900" t="s">
        <v>37</v>
      </c>
      <c r="C900" t="s">
        <v>40</v>
      </c>
      <c r="D900" s="3">
        <v>70000</v>
      </c>
      <c r="E900">
        <v>5</v>
      </c>
      <c r="F900" t="s">
        <v>13</v>
      </c>
      <c r="G900" t="s">
        <v>28</v>
      </c>
      <c r="H900" t="s">
        <v>15</v>
      </c>
      <c r="I900">
        <v>3</v>
      </c>
      <c r="J900" t="s">
        <v>44</v>
      </c>
      <c r="K900" t="s">
        <v>32</v>
      </c>
      <c r="L900">
        <v>60</v>
      </c>
      <c r="M900" t="str">
        <f t="shared" si="14"/>
        <v>Old 55+</v>
      </c>
      <c r="N900" t="s">
        <v>15</v>
      </c>
    </row>
    <row r="901" spans="1:14" x14ac:dyDescent="0.3">
      <c r="A901">
        <v>28192</v>
      </c>
      <c r="B901" t="s">
        <v>36</v>
      </c>
      <c r="C901" t="s">
        <v>39</v>
      </c>
      <c r="D901" s="3">
        <v>70000</v>
      </c>
      <c r="E901">
        <v>5</v>
      </c>
      <c r="F901" t="s">
        <v>31</v>
      </c>
      <c r="G901" t="s">
        <v>21</v>
      </c>
      <c r="H901" t="s">
        <v>15</v>
      </c>
      <c r="I901">
        <v>3</v>
      </c>
      <c r="J901" t="s">
        <v>44</v>
      </c>
      <c r="K901" t="s">
        <v>32</v>
      </c>
      <c r="L901">
        <v>46</v>
      </c>
      <c r="M901" t="str">
        <f t="shared" si="14"/>
        <v>Middle Age31-54</v>
      </c>
      <c r="N901" t="s">
        <v>18</v>
      </c>
    </row>
    <row r="902" spans="1:14" x14ac:dyDescent="0.3">
      <c r="A902">
        <v>16122</v>
      </c>
      <c r="B902" t="s">
        <v>36</v>
      </c>
      <c r="C902" t="s">
        <v>40</v>
      </c>
      <c r="D902" s="3">
        <v>40000</v>
      </c>
      <c r="E902">
        <v>4</v>
      </c>
      <c r="F902" t="s">
        <v>27</v>
      </c>
      <c r="G902" t="s">
        <v>14</v>
      </c>
      <c r="H902" t="s">
        <v>15</v>
      </c>
      <c r="I902">
        <v>2</v>
      </c>
      <c r="J902" t="s">
        <v>16</v>
      </c>
      <c r="K902" t="s">
        <v>32</v>
      </c>
      <c r="L902">
        <v>44</v>
      </c>
      <c r="M902" t="str">
        <f t="shared" si="14"/>
        <v>Middle Age31-54</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Age31-54</v>
      </c>
      <c r="N903" t="s">
        <v>15</v>
      </c>
    </row>
    <row r="904" spans="1:14" x14ac:dyDescent="0.3">
      <c r="A904">
        <v>28858</v>
      </c>
      <c r="B904" t="s">
        <v>37</v>
      </c>
      <c r="C904" t="s">
        <v>40</v>
      </c>
      <c r="D904" s="3">
        <v>80000</v>
      </c>
      <c r="E904">
        <v>3</v>
      </c>
      <c r="F904" t="s">
        <v>13</v>
      </c>
      <c r="G904" t="s">
        <v>14</v>
      </c>
      <c r="H904" t="s">
        <v>15</v>
      </c>
      <c r="I904">
        <v>0</v>
      </c>
      <c r="J904" t="s">
        <v>22</v>
      </c>
      <c r="K904" t="s">
        <v>32</v>
      </c>
      <c r="L904">
        <v>40</v>
      </c>
      <c r="M904" t="str">
        <f t="shared" si="14"/>
        <v>Middle Age31-54</v>
      </c>
      <c r="N904" t="s">
        <v>18</v>
      </c>
    </row>
    <row r="905" spans="1:14" x14ac:dyDescent="0.3">
      <c r="A905">
        <v>14432</v>
      </c>
      <c r="B905" t="s">
        <v>37</v>
      </c>
      <c r="C905" t="s">
        <v>40</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Age31-54</v>
      </c>
      <c r="N906" t="s">
        <v>15</v>
      </c>
    </row>
    <row r="907" spans="1:14" x14ac:dyDescent="0.3">
      <c r="A907">
        <v>22050</v>
      </c>
      <c r="B907" t="s">
        <v>37</v>
      </c>
      <c r="C907" t="s">
        <v>40</v>
      </c>
      <c r="D907" s="3">
        <v>90000</v>
      </c>
      <c r="E907">
        <v>4</v>
      </c>
      <c r="F907" t="s">
        <v>13</v>
      </c>
      <c r="G907" t="s">
        <v>28</v>
      </c>
      <c r="H907" t="s">
        <v>15</v>
      </c>
      <c r="I907">
        <v>1</v>
      </c>
      <c r="J907" t="s">
        <v>26</v>
      </c>
      <c r="K907" t="s">
        <v>32</v>
      </c>
      <c r="L907">
        <v>38</v>
      </c>
      <c r="M907" t="str">
        <f t="shared" si="14"/>
        <v>Middle Age31-54</v>
      </c>
      <c r="N907" t="s">
        <v>15</v>
      </c>
    </row>
    <row r="908" spans="1:14" x14ac:dyDescent="0.3">
      <c r="A908">
        <v>25394</v>
      </c>
      <c r="B908" t="s">
        <v>36</v>
      </c>
      <c r="C908" t="s">
        <v>40</v>
      </c>
      <c r="D908" s="3">
        <v>60000</v>
      </c>
      <c r="E908">
        <v>1</v>
      </c>
      <c r="F908" t="s">
        <v>31</v>
      </c>
      <c r="G908" t="s">
        <v>21</v>
      </c>
      <c r="H908" t="s">
        <v>15</v>
      </c>
      <c r="I908">
        <v>0</v>
      </c>
      <c r="J908" t="s">
        <v>22</v>
      </c>
      <c r="K908" t="s">
        <v>32</v>
      </c>
      <c r="L908">
        <v>34</v>
      </c>
      <c r="M908" t="str">
        <f t="shared" si="14"/>
        <v>Middle Age31-54</v>
      </c>
      <c r="N908" t="s">
        <v>15</v>
      </c>
    </row>
    <row r="909" spans="1:14" x14ac:dyDescent="0.3">
      <c r="A909">
        <v>19747</v>
      </c>
      <c r="B909" t="s">
        <v>36</v>
      </c>
      <c r="C909" t="s">
        <v>40</v>
      </c>
      <c r="D909" s="3">
        <v>50000</v>
      </c>
      <c r="E909">
        <v>4</v>
      </c>
      <c r="F909" t="s">
        <v>13</v>
      </c>
      <c r="G909" t="s">
        <v>28</v>
      </c>
      <c r="H909" t="s">
        <v>15</v>
      </c>
      <c r="I909">
        <v>2</v>
      </c>
      <c r="J909" t="s">
        <v>44</v>
      </c>
      <c r="K909" t="s">
        <v>32</v>
      </c>
      <c r="L909">
        <v>63</v>
      </c>
      <c r="M909" t="str">
        <f t="shared" si="14"/>
        <v>Old 55+</v>
      </c>
      <c r="N909" t="s">
        <v>18</v>
      </c>
    </row>
    <row r="910" spans="1:14" x14ac:dyDescent="0.3">
      <c r="A910">
        <v>23195</v>
      </c>
      <c r="B910" t="s">
        <v>37</v>
      </c>
      <c r="C910" t="s">
        <v>40</v>
      </c>
      <c r="D910" s="3">
        <v>50000</v>
      </c>
      <c r="E910">
        <v>3</v>
      </c>
      <c r="F910" t="s">
        <v>13</v>
      </c>
      <c r="G910" t="s">
        <v>14</v>
      </c>
      <c r="H910" t="s">
        <v>15</v>
      </c>
      <c r="I910">
        <v>2</v>
      </c>
      <c r="J910" t="s">
        <v>22</v>
      </c>
      <c r="K910" t="s">
        <v>32</v>
      </c>
      <c r="L910">
        <v>41</v>
      </c>
      <c r="M910" t="str">
        <f t="shared" si="14"/>
        <v>Middle Age31-54</v>
      </c>
      <c r="N910" t="s">
        <v>15</v>
      </c>
    </row>
    <row r="911" spans="1:14" x14ac:dyDescent="0.3">
      <c r="A911">
        <v>21695</v>
      </c>
      <c r="B911" t="s">
        <v>36</v>
      </c>
      <c r="C911" t="s">
        <v>40</v>
      </c>
      <c r="D911" s="3">
        <v>60000</v>
      </c>
      <c r="E911">
        <v>0</v>
      </c>
      <c r="F911" t="s">
        <v>31</v>
      </c>
      <c r="G911" t="s">
        <v>14</v>
      </c>
      <c r="H911" t="s">
        <v>15</v>
      </c>
      <c r="I911">
        <v>0</v>
      </c>
      <c r="J911" t="s">
        <v>26</v>
      </c>
      <c r="K911" t="s">
        <v>32</v>
      </c>
      <c r="L911">
        <v>39</v>
      </c>
      <c r="M911" t="str">
        <f t="shared" si="14"/>
        <v>Middle Age31-54</v>
      </c>
      <c r="N911" t="s">
        <v>15</v>
      </c>
    </row>
    <row r="912" spans="1:14" x14ac:dyDescent="0.3">
      <c r="A912">
        <v>13934</v>
      </c>
      <c r="B912" t="s">
        <v>36</v>
      </c>
      <c r="C912" t="s">
        <v>40</v>
      </c>
      <c r="D912" s="3">
        <v>40000</v>
      </c>
      <c r="E912">
        <v>4</v>
      </c>
      <c r="F912" t="s">
        <v>27</v>
      </c>
      <c r="G912" t="s">
        <v>14</v>
      </c>
      <c r="H912" t="s">
        <v>15</v>
      </c>
      <c r="I912">
        <v>2</v>
      </c>
      <c r="J912" t="s">
        <v>22</v>
      </c>
      <c r="K912" t="s">
        <v>32</v>
      </c>
      <c r="L912">
        <v>46</v>
      </c>
      <c r="M912" t="str">
        <f t="shared" si="14"/>
        <v>Middle Age31-54</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Age31-54</v>
      </c>
      <c r="N914" t="s">
        <v>18</v>
      </c>
    </row>
    <row r="915" spans="1:14" x14ac:dyDescent="0.3">
      <c r="A915">
        <v>28657</v>
      </c>
      <c r="B915" t="s">
        <v>37</v>
      </c>
      <c r="C915" t="s">
        <v>40</v>
      </c>
      <c r="D915" s="3">
        <v>60000</v>
      </c>
      <c r="E915">
        <v>2</v>
      </c>
      <c r="F915" t="s">
        <v>13</v>
      </c>
      <c r="G915" t="s">
        <v>14</v>
      </c>
      <c r="H915" t="s">
        <v>15</v>
      </c>
      <c r="I915">
        <v>0</v>
      </c>
      <c r="J915" t="s">
        <v>22</v>
      </c>
      <c r="K915" t="s">
        <v>32</v>
      </c>
      <c r="L915">
        <v>36</v>
      </c>
      <c r="M915" t="str">
        <f t="shared" si="14"/>
        <v>Middle Age31-54</v>
      </c>
      <c r="N915" t="s">
        <v>15</v>
      </c>
    </row>
    <row r="916" spans="1:14" x14ac:dyDescent="0.3">
      <c r="A916">
        <v>21713</v>
      </c>
      <c r="B916" t="s">
        <v>37</v>
      </c>
      <c r="C916" t="s">
        <v>40</v>
      </c>
      <c r="D916" s="3">
        <v>80000</v>
      </c>
      <c r="E916">
        <v>5</v>
      </c>
      <c r="F916" t="s">
        <v>31</v>
      </c>
      <c r="G916" t="s">
        <v>14</v>
      </c>
      <c r="H916" t="s">
        <v>18</v>
      </c>
      <c r="I916">
        <v>0</v>
      </c>
      <c r="J916" t="s">
        <v>16</v>
      </c>
      <c r="K916" t="s">
        <v>32</v>
      </c>
      <c r="L916">
        <v>47</v>
      </c>
      <c r="M916" t="str">
        <f t="shared" si="14"/>
        <v>Middle Age31-54</v>
      </c>
      <c r="N916" t="s">
        <v>18</v>
      </c>
    </row>
    <row r="917" spans="1:14" x14ac:dyDescent="0.3">
      <c r="A917">
        <v>21752</v>
      </c>
      <c r="B917" t="s">
        <v>36</v>
      </c>
      <c r="C917" t="s">
        <v>40</v>
      </c>
      <c r="D917" s="3">
        <v>60000</v>
      </c>
      <c r="E917">
        <v>3</v>
      </c>
      <c r="F917" t="s">
        <v>31</v>
      </c>
      <c r="G917" t="s">
        <v>28</v>
      </c>
      <c r="H917" t="s">
        <v>15</v>
      </c>
      <c r="I917">
        <v>2</v>
      </c>
      <c r="J917" t="s">
        <v>44</v>
      </c>
      <c r="K917" t="s">
        <v>32</v>
      </c>
      <c r="L917">
        <v>64</v>
      </c>
      <c r="M917" t="str">
        <f t="shared" si="14"/>
        <v>Old 55+</v>
      </c>
      <c r="N917" t="s">
        <v>18</v>
      </c>
    </row>
    <row r="918" spans="1:14" x14ac:dyDescent="0.3">
      <c r="A918">
        <v>27273</v>
      </c>
      <c r="B918" t="s">
        <v>37</v>
      </c>
      <c r="C918" t="s">
        <v>40</v>
      </c>
      <c r="D918" s="3">
        <v>70000</v>
      </c>
      <c r="E918">
        <v>3</v>
      </c>
      <c r="F918" t="s">
        <v>31</v>
      </c>
      <c r="G918" t="s">
        <v>21</v>
      </c>
      <c r="H918" t="s">
        <v>18</v>
      </c>
      <c r="I918">
        <v>0</v>
      </c>
      <c r="J918" t="s">
        <v>16</v>
      </c>
      <c r="K918" t="s">
        <v>32</v>
      </c>
      <c r="L918">
        <v>35</v>
      </c>
      <c r="M918" t="str">
        <f t="shared" si="14"/>
        <v>Middle Age31-54</v>
      </c>
      <c r="N918" t="s">
        <v>15</v>
      </c>
    </row>
    <row r="919" spans="1:14" x14ac:dyDescent="0.3">
      <c r="A919">
        <v>22719</v>
      </c>
      <c r="B919" t="s">
        <v>37</v>
      </c>
      <c r="C919" t="s">
        <v>40</v>
      </c>
      <c r="D919" s="3">
        <v>110000</v>
      </c>
      <c r="E919">
        <v>3</v>
      </c>
      <c r="F919" t="s">
        <v>13</v>
      </c>
      <c r="G919" t="s">
        <v>28</v>
      </c>
      <c r="H919" t="s">
        <v>15</v>
      </c>
      <c r="I919">
        <v>4</v>
      </c>
      <c r="J919" t="s">
        <v>22</v>
      </c>
      <c r="K919" t="s">
        <v>32</v>
      </c>
      <c r="L919">
        <v>40</v>
      </c>
      <c r="M919" t="str">
        <f t="shared" si="14"/>
        <v>Middle Age31-54</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Age31-54</v>
      </c>
      <c r="N920" t="s">
        <v>15</v>
      </c>
    </row>
    <row r="921" spans="1:14" x14ac:dyDescent="0.3">
      <c r="A921">
        <v>21451</v>
      </c>
      <c r="B921" t="s">
        <v>36</v>
      </c>
      <c r="C921" t="s">
        <v>39</v>
      </c>
      <c r="D921" s="3">
        <v>40000</v>
      </c>
      <c r="E921">
        <v>4</v>
      </c>
      <c r="F921" t="s">
        <v>27</v>
      </c>
      <c r="G921" t="s">
        <v>21</v>
      </c>
      <c r="H921" t="s">
        <v>15</v>
      </c>
      <c r="I921">
        <v>2</v>
      </c>
      <c r="J921" t="s">
        <v>44</v>
      </c>
      <c r="K921" t="s">
        <v>32</v>
      </c>
      <c r="L921">
        <v>61</v>
      </c>
      <c r="M921" t="str">
        <f t="shared" si="14"/>
        <v>Old 55+</v>
      </c>
      <c r="N921" t="s">
        <v>18</v>
      </c>
    </row>
    <row r="922" spans="1:14" x14ac:dyDescent="0.3">
      <c r="A922">
        <v>20754</v>
      </c>
      <c r="B922" t="s">
        <v>36</v>
      </c>
      <c r="C922" t="s">
        <v>40</v>
      </c>
      <c r="D922" s="3">
        <v>30000</v>
      </c>
      <c r="E922">
        <v>2</v>
      </c>
      <c r="F922" t="s">
        <v>27</v>
      </c>
      <c r="G922" t="s">
        <v>14</v>
      </c>
      <c r="H922" t="s">
        <v>15</v>
      </c>
      <c r="I922">
        <v>2</v>
      </c>
      <c r="J922" t="s">
        <v>26</v>
      </c>
      <c r="K922" t="s">
        <v>32</v>
      </c>
      <c r="L922">
        <v>51</v>
      </c>
      <c r="M922" t="str">
        <f t="shared" si="14"/>
        <v>Middle Age31-54</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Age31-54</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Age31-54</v>
      </c>
      <c r="N924" t="s">
        <v>15</v>
      </c>
    </row>
    <row r="925" spans="1:14" x14ac:dyDescent="0.3">
      <c r="A925">
        <v>26728</v>
      </c>
      <c r="B925" t="s">
        <v>37</v>
      </c>
      <c r="C925" t="s">
        <v>40</v>
      </c>
      <c r="D925" s="3">
        <v>70000</v>
      </c>
      <c r="E925">
        <v>3</v>
      </c>
      <c r="F925" t="s">
        <v>31</v>
      </c>
      <c r="G925" t="s">
        <v>28</v>
      </c>
      <c r="H925" t="s">
        <v>18</v>
      </c>
      <c r="I925">
        <v>2</v>
      </c>
      <c r="J925" t="s">
        <v>26</v>
      </c>
      <c r="K925" t="s">
        <v>32</v>
      </c>
      <c r="L925">
        <v>53</v>
      </c>
      <c r="M925" t="str">
        <f t="shared" si="14"/>
        <v>Middle Age31-54</v>
      </c>
      <c r="N925" t="s">
        <v>15</v>
      </c>
    </row>
    <row r="926" spans="1:14" x14ac:dyDescent="0.3">
      <c r="A926">
        <v>11090</v>
      </c>
      <c r="B926" t="s">
        <v>37</v>
      </c>
      <c r="C926" t="s">
        <v>40</v>
      </c>
      <c r="D926" s="3">
        <v>90000</v>
      </c>
      <c r="E926">
        <v>2</v>
      </c>
      <c r="F926" t="s">
        <v>19</v>
      </c>
      <c r="G926" t="s">
        <v>21</v>
      </c>
      <c r="H926" t="s">
        <v>15</v>
      </c>
      <c r="I926">
        <v>1</v>
      </c>
      <c r="J926" t="s">
        <v>22</v>
      </c>
      <c r="K926" t="s">
        <v>32</v>
      </c>
      <c r="L926">
        <v>48</v>
      </c>
      <c r="M926" t="str">
        <f t="shared" si="14"/>
        <v>Middle Age31-54</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Age31-54</v>
      </c>
      <c r="N927" t="s">
        <v>15</v>
      </c>
    </row>
    <row r="928" spans="1:14" x14ac:dyDescent="0.3">
      <c r="A928">
        <v>26495</v>
      </c>
      <c r="B928" t="s">
        <v>37</v>
      </c>
      <c r="C928" t="s">
        <v>39</v>
      </c>
      <c r="D928" s="3">
        <v>40000</v>
      </c>
      <c r="E928">
        <v>2</v>
      </c>
      <c r="F928" t="s">
        <v>27</v>
      </c>
      <c r="G928" t="s">
        <v>21</v>
      </c>
      <c r="H928" t="s">
        <v>15</v>
      </c>
      <c r="I928">
        <v>2</v>
      </c>
      <c r="J928" t="s">
        <v>44</v>
      </c>
      <c r="K928" t="s">
        <v>32</v>
      </c>
      <c r="L928">
        <v>57</v>
      </c>
      <c r="M928" t="str">
        <f t="shared" si="14"/>
        <v>Old 55+</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Age31-54</v>
      </c>
      <c r="N929" t="s">
        <v>18</v>
      </c>
    </row>
    <row r="930" spans="1:14" x14ac:dyDescent="0.3">
      <c r="A930">
        <v>23449</v>
      </c>
      <c r="B930" t="s">
        <v>36</v>
      </c>
      <c r="C930" t="s">
        <v>40</v>
      </c>
      <c r="D930" s="3">
        <v>60000</v>
      </c>
      <c r="E930">
        <v>2</v>
      </c>
      <c r="F930" t="s">
        <v>27</v>
      </c>
      <c r="G930" t="s">
        <v>21</v>
      </c>
      <c r="H930" t="s">
        <v>15</v>
      </c>
      <c r="I930">
        <v>2</v>
      </c>
      <c r="J930" t="s">
        <v>23</v>
      </c>
      <c r="K930" t="s">
        <v>32</v>
      </c>
      <c r="L930">
        <v>48</v>
      </c>
      <c r="M930" t="str">
        <f t="shared" si="14"/>
        <v>Middle Age31-54</v>
      </c>
      <c r="N930" t="s">
        <v>18</v>
      </c>
    </row>
    <row r="931" spans="1:14" x14ac:dyDescent="0.3">
      <c r="A931">
        <v>23459</v>
      </c>
      <c r="B931" t="s">
        <v>36</v>
      </c>
      <c r="C931" t="s">
        <v>40</v>
      </c>
      <c r="D931" s="3">
        <v>60000</v>
      </c>
      <c r="E931">
        <v>2</v>
      </c>
      <c r="F931" t="s">
        <v>27</v>
      </c>
      <c r="G931" t="s">
        <v>21</v>
      </c>
      <c r="H931" t="s">
        <v>15</v>
      </c>
      <c r="I931">
        <v>2</v>
      </c>
      <c r="J931" t="s">
        <v>23</v>
      </c>
      <c r="K931" t="s">
        <v>32</v>
      </c>
      <c r="L931">
        <v>50</v>
      </c>
      <c r="M931" t="str">
        <f t="shared" si="14"/>
        <v>Middle Age31-54</v>
      </c>
      <c r="N931" t="s">
        <v>18</v>
      </c>
    </row>
    <row r="932" spans="1:14" x14ac:dyDescent="0.3">
      <c r="A932">
        <v>19543</v>
      </c>
      <c r="B932" t="s">
        <v>36</v>
      </c>
      <c r="C932" t="s">
        <v>40</v>
      </c>
      <c r="D932" s="3">
        <v>70000</v>
      </c>
      <c r="E932">
        <v>5</v>
      </c>
      <c r="F932" t="s">
        <v>31</v>
      </c>
      <c r="G932" t="s">
        <v>21</v>
      </c>
      <c r="H932" t="s">
        <v>18</v>
      </c>
      <c r="I932">
        <v>3</v>
      </c>
      <c r="J932" t="s">
        <v>44</v>
      </c>
      <c r="K932" t="s">
        <v>32</v>
      </c>
      <c r="L932">
        <v>47</v>
      </c>
      <c r="M932" t="str">
        <f t="shared" si="14"/>
        <v>Middle Age31-54</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Age31-54</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Adolescent0-30</v>
      </c>
      <c r="N934" t="s">
        <v>15</v>
      </c>
    </row>
    <row r="935" spans="1:14" x14ac:dyDescent="0.3">
      <c r="A935">
        <v>11941</v>
      </c>
      <c r="B935" t="s">
        <v>37</v>
      </c>
      <c r="C935" t="s">
        <v>40</v>
      </c>
      <c r="D935" s="3">
        <v>60000</v>
      </c>
      <c r="E935">
        <v>0</v>
      </c>
      <c r="F935" t="s">
        <v>19</v>
      </c>
      <c r="G935" t="s">
        <v>14</v>
      </c>
      <c r="H935" t="s">
        <v>15</v>
      </c>
      <c r="I935">
        <v>0</v>
      </c>
      <c r="J935" t="s">
        <v>23</v>
      </c>
      <c r="K935" t="s">
        <v>32</v>
      </c>
      <c r="L935">
        <v>29</v>
      </c>
      <c r="M935" t="str">
        <f t="shared" si="14"/>
        <v>Adolescent0-30</v>
      </c>
      <c r="N935" t="s">
        <v>18</v>
      </c>
    </row>
    <row r="936" spans="1:14" x14ac:dyDescent="0.3">
      <c r="A936">
        <v>14389</v>
      </c>
      <c r="B936" t="s">
        <v>36</v>
      </c>
      <c r="C936" t="s">
        <v>40</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Age31-54</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40</v>
      </c>
      <c r="D939" s="3">
        <v>70000</v>
      </c>
      <c r="E939">
        <v>4</v>
      </c>
      <c r="F939" t="s">
        <v>31</v>
      </c>
      <c r="G939" t="s">
        <v>21</v>
      </c>
      <c r="H939" t="s">
        <v>15</v>
      </c>
      <c r="I939">
        <v>0</v>
      </c>
      <c r="J939" t="s">
        <v>16</v>
      </c>
      <c r="K939" t="s">
        <v>32</v>
      </c>
      <c r="L939">
        <v>36</v>
      </c>
      <c r="M939" t="str">
        <f t="shared" si="14"/>
        <v>Middle Age31-54</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Adolescent0-30</v>
      </c>
      <c r="N940" t="s">
        <v>18</v>
      </c>
    </row>
    <row r="941" spans="1:14" x14ac:dyDescent="0.3">
      <c r="A941">
        <v>23455</v>
      </c>
      <c r="B941" t="s">
        <v>37</v>
      </c>
      <c r="C941" t="s">
        <v>40</v>
      </c>
      <c r="D941" s="3">
        <v>80000</v>
      </c>
      <c r="E941">
        <v>2</v>
      </c>
      <c r="F941" t="s">
        <v>29</v>
      </c>
      <c r="G941" t="s">
        <v>14</v>
      </c>
      <c r="H941" t="s">
        <v>18</v>
      </c>
      <c r="I941">
        <v>2</v>
      </c>
      <c r="J941" t="s">
        <v>26</v>
      </c>
      <c r="K941" t="s">
        <v>32</v>
      </c>
      <c r="L941">
        <v>50</v>
      </c>
      <c r="M941" t="str">
        <f t="shared" si="14"/>
        <v>Middle Age31-54</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Age31-54</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Age31-54</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Age31-54</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Age31-54</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Age31-54</v>
      </c>
      <c r="N946" t="s">
        <v>15</v>
      </c>
    </row>
    <row r="947" spans="1:14" x14ac:dyDescent="0.3">
      <c r="A947">
        <v>25419</v>
      </c>
      <c r="B947" t="s">
        <v>37</v>
      </c>
      <c r="C947" t="s">
        <v>40</v>
      </c>
      <c r="D947" s="3">
        <v>50000</v>
      </c>
      <c r="E947">
        <v>2</v>
      </c>
      <c r="F947" t="s">
        <v>13</v>
      </c>
      <c r="G947" t="s">
        <v>14</v>
      </c>
      <c r="H947" t="s">
        <v>18</v>
      </c>
      <c r="I947">
        <v>1</v>
      </c>
      <c r="J947" t="s">
        <v>16</v>
      </c>
      <c r="K947" t="s">
        <v>32</v>
      </c>
      <c r="L947">
        <v>38</v>
      </c>
      <c r="M947" t="str">
        <f t="shared" si="14"/>
        <v>Middle Age31-54</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Age31-54</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Age31-54</v>
      </c>
      <c r="N950" t="s">
        <v>18</v>
      </c>
    </row>
    <row r="951" spans="1:14" x14ac:dyDescent="0.3">
      <c r="A951">
        <v>28056</v>
      </c>
      <c r="B951" t="s">
        <v>36</v>
      </c>
      <c r="C951" t="s">
        <v>40</v>
      </c>
      <c r="D951" s="3">
        <v>70000</v>
      </c>
      <c r="E951">
        <v>2</v>
      </c>
      <c r="F951" t="s">
        <v>29</v>
      </c>
      <c r="G951" t="s">
        <v>14</v>
      </c>
      <c r="H951" t="s">
        <v>15</v>
      </c>
      <c r="I951">
        <v>2</v>
      </c>
      <c r="J951" t="s">
        <v>44</v>
      </c>
      <c r="K951" t="s">
        <v>32</v>
      </c>
      <c r="L951">
        <v>53</v>
      </c>
      <c r="M951" t="str">
        <f t="shared" si="14"/>
        <v>Middle Age31-54</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Age31-54</v>
      </c>
      <c r="N952" t="s">
        <v>18</v>
      </c>
    </row>
    <row r="953" spans="1:14" x14ac:dyDescent="0.3">
      <c r="A953">
        <v>22296</v>
      </c>
      <c r="B953" t="s">
        <v>36</v>
      </c>
      <c r="C953" t="s">
        <v>40</v>
      </c>
      <c r="D953" s="3">
        <v>70000</v>
      </c>
      <c r="E953">
        <v>0</v>
      </c>
      <c r="F953" t="s">
        <v>13</v>
      </c>
      <c r="G953" t="s">
        <v>21</v>
      </c>
      <c r="H953" t="s">
        <v>18</v>
      </c>
      <c r="I953">
        <v>1</v>
      </c>
      <c r="J953" t="s">
        <v>16</v>
      </c>
      <c r="K953" t="s">
        <v>32</v>
      </c>
      <c r="L953">
        <v>38</v>
      </c>
      <c r="M953" t="str">
        <f t="shared" si="14"/>
        <v>Middle Age31-54</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Adolescent0-30</v>
      </c>
      <c r="N955" t="s">
        <v>15</v>
      </c>
    </row>
    <row r="956" spans="1:14" x14ac:dyDescent="0.3">
      <c r="A956">
        <v>14662</v>
      </c>
      <c r="B956" t="s">
        <v>36</v>
      </c>
      <c r="C956" t="s">
        <v>40</v>
      </c>
      <c r="D956" s="3">
        <v>60000</v>
      </c>
      <c r="E956">
        <v>1</v>
      </c>
      <c r="F956" t="s">
        <v>13</v>
      </c>
      <c r="G956" t="s">
        <v>21</v>
      </c>
      <c r="H956" t="s">
        <v>15</v>
      </c>
      <c r="I956">
        <v>1</v>
      </c>
      <c r="J956" t="s">
        <v>16</v>
      </c>
      <c r="K956" t="s">
        <v>32</v>
      </c>
      <c r="L956">
        <v>48</v>
      </c>
      <c r="M956" t="str">
        <f t="shared" si="14"/>
        <v>Middle Age31-54</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Age31-54</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Age31-54</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Adolescent0-30</v>
      </c>
      <c r="N959" t="s">
        <v>18</v>
      </c>
    </row>
    <row r="960" spans="1:14" x14ac:dyDescent="0.3">
      <c r="A960">
        <v>21940</v>
      </c>
      <c r="B960" t="s">
        <v>36</v>
      </c>
      <c r="C960" t="s">
        <v>40</v>
      </c>
      <c r="D960" s="3">
        <v>90000</v>
      </c>
      <c r="E960">
        <v>5</v>
      </c>
      <c r="F960" t="s">
        <v>31</v>
      </c>
      <c r="G960" t="s">
        <v>21</v>
      </c>
      <c r="H960" t="s">
        <v>15</v>
      </c>
      <c r="I960">
        <v>0</v>
      </c>
      <c r="J960" t="s">
        <v>16</v>
      </c>
      <c r="K960" t="s">
        <v>32</v>
      </c>
      <c r="L960">
        <v>47</v>
      </c>
      <c r="M960" t="str">
        <f t="shared" si="14"/>
        <v>Middle Age31-54</v>
      </c>
      <c r="N960" t="s">
        <v>15</v>
      </c>
    </row>
    <row r="961" spans="1:14" x14ac:dyDescent="0.3">
      <c r="A961">
        <v>20196</v>
      </c>
      <c r="B961" t="s">
        <v>36</v>
      </c>
      <c r="C961" t="s">
        <v>40</v>
      </c>
      <c r="D961" s="3">
        <v>60000</v>
      </c>
      <c r="E961">
        <v>1</v>
      </c>
      <c r="F961" t="s">
        <v>19</v>
      </c>
      <c r="G961" t="s">
        <v>14</v>
      </c>
      <c r="H961" t="s">
        <v>15</v>
      </c>
      <c r="I961">
        <v>1</v>
      </c>
      <c r="J961" t="s">
        <v>22</v>
      </c>
      <c r="K961" t="s">
        <v>32</v>
      </c>
      <c r="L961">
        <v>45</v>
      </c>
      <c r="M961" t="str">
        <f t="shared" si="14"/>
        <v>Middle Age31-54</v>
      </c>
      <c r="N961" t="s">
        <v>15</v>
      </c>
    </row>
    <row r="962" spans="1:14" x14ac:dyDescent="0.3">
      <c r="A962">
        <v>23491</v>
      </c>
      <c r="B962" t="s">
        <v>37</v>
      </c>
      <c r="C962" t="s">
        <v>40</v>
      </c>
      <c r="D962" s="3">
        <v>100000</v>
      </c>
      <c r="E962">
        <v>0</v>
      </c>
      <c r="F962" t="s">
        <v>19</v>
      </c>
      <c r="G962" t="s">
        <v>21</v>
      </c>
      <c r="H962" t="s">
        <v>18</v>
      </c>
      <c r="I962">
        <v>4</v>
      </c>
      <c r="J962" t="s">
        <v>26</v>
      </c>
      <c r="K962" t="s">
        <v>32</v>
      </c>
      <c r="L962">
        <v>45</v>
      </c>
      <c r="M962" t="str">
        <f t="shared" si="14"/>
        <v>Middle Age31-54</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26" si="15">IF(L963&gt;55, "Old 55+", IF(L963&gt;=31, "Middle Age31-54",IF(L963&lt;31,"Adolescent0-30","Invalid")))</f>
        <v>Old 55+</v>
      </c>
      <c r="N963" t="s">
        <v>18</v>
      </c>
    </row>
    <row r="964" spans="1:14" x14ac:dyDescent="0.3">
      <c r="A964">
        <v>16813</v>
      </c>
      <c r="B964" t="s">
        <v>36</v>
      </c>
      <c r="C964" t="s">
        <v>40</v>
      </c>
      <c r="D964" s="3">
        <v>60000</v>
      </c>
      <c r="E964">
        <v>2</v>
      </c>
      <c r="F964" t="s">
        <v>19</v>
      </c>
      <c r="G964" t="s">
        <v>21</v>
      </c>
      <c r="H964" t="s">
        <v>15</v>
      </c>
      <c r="I964">
        <v>2</v>
      </c>
      <c r="J964" t="s">
        <v>44</v>
      </c>
      <c r="K964" t="s">
        <v>32</v>
      </c>
      <c r="L964">
        <v>55</v>
      </c>
      <c r="M964" t="str">
        <f t="shared" si="15"/>
        <v>Middle Age31-54</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40</v>
      </c>
      <c r="D966" s="3">
        <v>70000</v>
      </c>
      <c r="E966">
        <v>4</v>
      </c>
      <c r="F966" t="s">
        <v>19</v>
      </c>
      <c r="G966" t="s">
        <v>21</v>
      </c>
      <c r="H966" t="s">
        <v>15</v>
      </c>
      <c r="I966">
        <v>1</v>
      </c>
      <c r="J966" t="s">
        <v>44</v>
      </c>
      <c r="K966" t="s">
        <v>32</v>
      </c>
      <c r="L966">
        <v>56</v>
      </c>
      <c r="M966" t="str">
        <f t="shared" si="15"/>
        <v>Old 55+</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Age31-54</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Age31-54</v>
      </c>
      <c r="N968" t="s">
        <v>15</v>
      </c>
    </row>
    <row r="969" spans="1:14" x14ac:dyDescent="0.3">
      <c r="A969">
        <v>19012</v>
      </c>
      <c r="B969" t="s">
        <v>36</v>
      </c>
      <c r="C969" t="s">
        <v>40</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40</v>
      </c>
      <c r="D970" s="3">
        <v>30000</v>
      </c>
      <c r="E970">
        <v>0</v>
      </c>
      <c r="F970" t="s">
        <v>29</v>
      </c>
      <c r="G970" t="s">
        <v>20</v>
      </c>
      <c r="H970" t="s">
        <v>18</v>
      </c>
      <c r="I970">
        <v>2</v>
      </c>
      <c r="J970" t="s">
        <v>23</v>
      </c>
      <c r="K970" t="s">
        <v>32</v>
      </c>
      <c r="L970">
        <v>27</v>
      </c>
      <c r="M970" t="str">
        <f t="shared" si="15"/>
        <v>Adolescent0-30</v>
      </c>
      <c r="N970" t="s">
        <v>18</v>
      </c>
    </row>
    <row r="971" spans="1:14" x14ac:dyDescent="0.3">
      <c r="A971">
        <v>29037</v>
      </c>
      <c r="B971" t="s">
        <v>36</v>
      </c>
      <c r="C971" t="s">
        <v>40</v>
      </c>
      <c r="D971" s="3">
        <v>60000</v>
      </c>
      <c r="E971">
        <v>0</v>
      </c>
      <c r="F971" t="s">
        <v>31</v>
      </c>
      <c r="G971" t="s">
        <v>21</v>
      </c>
      <c r="H971" t="s">
        <v>18</v>
      </c>
      <c r="I971">
        <v>0</v>
      </c>
      <c r="J971" t="s">
        <v>16</v>
      </c>
      <c r="K971" t="s">
        <v>32</v>
      </c>
      <c r="L971">
        <v>39</v>
      </c>
      <c r="M971" t="str">
        <f t="shared" si="15"/>
        <v>Middle Age31-54</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Age31-54</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Age31-54</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Age31-54</v>
      </c>
      <c r="N974" t="s">
        <v>18</v>
      </c>
    </row>
    <row r="975" spans="1:14" x14ac:dyDescent="0.3">
      <c r="A975">
        <v>11734</v>
      </c>
      <c r="B975" t="s">
        <v>36</v>
      </c>
      <c r="C975" t="s">
        <v>40</v>
      </c>
      <c r="D975" s="3">
        <v>60000</v>
      </c>
      <c r="E975">
        <v>1</v>
      </c>
      <c r="F975" t="s">
        <v>19</v>
      </c>
      <c r="G975" t="s">
        <v>14</v>
      </c>
      <c r="H975" t="s">
        <v>18</v>
      </c>
      <c r="I975">
        <v>1</v>
      </c>
      <c r="J975" t="s">
        <v>16</v>
      </c>
      <c r="K975" t="s">
        <v>32</v>
      </c>
      <c r="L975">
        <v>47</v>
      </c>
      <c r="M975" t="str">
        <f t="shared" si="15"/>
        <v>Middle Age31-54</v>
      </c>
      <c r="N975" t="s">
        <v>18</v>
      </c>
    </row>
    <row r="976" spans="1:14" x14ac:dyDescent="0.3">
      <c r="A976">
        <v>17462</v>
      </c>
      <c r="B976" t="s">
        <v>36</v>
      </c>
      <c r="C976" t="s">
        <v>40</v>
      </c>
      <c r="D976" s="3">
        <v>70000</v>
      </c>
      <c r="E976">
        <v>3</v>
      </c>
      <c r="F976" t="s">
        <v>31</v>
      </c>
      <c r="G976" t="s">
        <v>28</v>
      </c>
      <c r="H976" t="s">
        <v>15</v>
      </c>
      <c r="I976">
        <v>2</v>
      </c>
      <c r="J976" t="s">
        <v>23</v>
      </c>
      <c r="K976" t="s">
        <v>32</v>
      </c>
      <c r="L976">
        <v>53</v>
      </c>
      <c r="M976" t="str">
        <f t="shared" si="15"/>
        <v>Middle Age31-54</v>
      </c>
      <c r="N976" t="s">
        <v>15</v>
      </c>
    </row>
    <row r="977" spans="1:14" x14ac:dyDescent="0.3">
      <c r="A977">
        <v>20659</v>
      </c>
      <c r="B977" t="s">
        <v>36</v>
      </c>
      <c r="C977" t="s">
        <v>40</v>
      </c>
      <c r="D977" s="3">
        <v>70000</v>
      </c>
      <c r="E977">
        <v>3</v>
      </c>
      <c r="F977" t="s">
        <v>31</v>
      </c>
      <c r="G977" t="s">
        <v>21</v>
      </c>
      <c r="H977" t="s">
        <v>15</v>
      </c>
      <c r="I977">
        <v>0</v>
      </c>
      <c r="J977" t="s">
        <v>16</v>
      </c>
      <c r="K977" t="s">
        <v>32</v>
      </c>
      <c r="L977">
        <v>35</v>
      </c>
      <c r="M977" t="str">
        <f t="shared" si="15"/>
        <v>Middle Age31-54</v>
      </c>
      <c r="N977" t="s">
        <v>15</v>
      </c>
    </row>
    <row r="978" spans="1:14" x14ac:dyDescent="0.3">
      <c r="A978">
        <v>28004</v>
      </c>
      <c r="B978" t="s">
        <v>36</v>
      </c>
      <c r="C978" t="s">
        <v>39</v>
      </c>
      <c r="D978" s="3">
        <v>60000</v>
      </c>
      <c r="E978">
        <v>3</v>
      </c>
      <c r="F978" t="s">
        <v>13</v>
      </c>
      <c r="G978" t="s">
        <v>28</v>
      </c>
      <c r="H978" t="s">
        <v>15</v>
      </c>
      <c r="I978">
        <v>2</v>
      </c>
      <c r="J978" t="s">
        <v>44</v>
      </c>
      <c r="K978" t="s">
        <v>32</v>
      </c>
      <c r="L978">
        <v>66</v>
      </c>
      <c r="M978" t="str">
        <f t="shared" si="15"/>
        <v>Old 55+</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40</v>
      </c>
      <c r="D980" s="3">
        <v>80000</v>
      </c>
      <c r="E980">
        <v>5</v>
      </c>
      <c r="F980" t="s">
        <v>19</v>
      </c>
      <c r="G980" t="s">
        <v>21</v>
      </c>
      <c r="H980" t="s">
        <v>15</v>
      </c>
      <c r="I980">
        <v>3</v>
      </c>
      <c r="J980" t="s">
        <v>23</v>
      </c>
      <c r="K980" t="s">
        <v>32</v>
      </c>
      <c r="L980">
        <v>45</v>
      </c>
      <c r="M980" t="str">
        <f t="shared" si="15"/>
        <v>Middle Age31-54</v>
      </c>
      <c r="N980" t="s">
        <v>18</v>
      </c>
    </row>
    <row r="981" spans="1:14" x14ac:dyDescent="0.3">
      <c r="A981">
        <v>17337</v>
      </c>
      <c r="B981" t="s">
        <v>37</v>
      </c>
      <c r="C981" t="s">
        <v>40</v>
      </c>
      <c r="D981" s="3">
        <v>40000</v>
      </c>
      <c r="E981">
        <v>0</v>
      </c>
      <c r="F981" t="s">
        <v>27</v>
      </c>
      <c r="G981" t="s">
        <v>14</v>
      </c>
      <c r="H981" t="s">
        <v>15</v>
      </c>
      <c r="I981">
        <v>1</v>
      </c>
      <c r="J981" t="s">
        <v>23</v>
      </c>
      <c r="K981" t="s">
        <v>32</v>
      </c>
      <c r="L981">
        <v>31</v>
      </c>
      <c r="M981" t="str">
        <f t="shared" si="15"/>
        <v>Middle Age31-54</v>
      </c>
      <c r="N981" t="s">
        <v>18</v>
      </c>
    </row>
    <row r="982" spans="1:14" x14ac:dyDescent="0.3">
      <c r="A982">
        <v>18594</v>
      </c>
      <c r="B982" t="s">
        <v>37</v>
      </c>
      <c r="C982" t="s">
        <v>39</v>
      </c>
      <c r="D982" s="3">
        <v>80000</v>
      </c>
      <c r="E982">
        <v>3</v>
      </c>
      <c r="F982" t="s">
        <v>13</v>
      </c>
      <c r="G982" t="s">
        <v>14</v>
      </c>
      <c r="H982" t="s">
        <v>15</v>
      </c>
      <c r="I982">
        <v>3</v>
      </c>
      <c r="J982" t="s">
        <v>44</v>
      </c>
      <c r="K982" t="s">
        <v>32</v>
      </c>
      <c r="L982">
        <v>40</v>
      </c>
      <c r="M982" t="str">
        <f t="shared" si="15"/>
        <v>Middle Age31-54</v>
      </c>
      <c r="N982" t="s">
        <v>15</v>
      </c>
    </row>
    <row r="983" spans="1:14" x14ac:dyDescent="0.3">
      <c r="A983">
        <v>15982</v>
      </c>
      <c r="B983" t="s">
        <v>36</v>
      </c>
      <c r="C983" t="s">
        <v>40</v>
      </c>
      <c r="D983" s="3">
        <v>110000</v>
      </c>
      <c r="E983">
        <v>5</v>
      </c>
      <c r="F983" t="s">
        <v>19</v>
      </c>
      <c r="G983" t="s">
        <v>21</v>
      </c>
      <c r="H983" t="s">
        <v>15</v>
      </c>
      <c r="I983">
        <v>4</v>
      </c>
      <c r="J983" t="s">
        <v>22</v>
      </c>
      <c r="K983" t="s">
        <v>32</v>
      </c>
      <c r="L983">
        <v>46</v>
      </c>
      <c r="M983" t="str">
        <f t="shared" si="15"/>
        <v>Middle Age31-54</v>
      </c>
      <c r="N983" t="s">
        <v>18</v>
      </c>
    </row>
    <row r="984" spans="1:14" x14ac:dyDescent="0.3">
      <c r="A984">
        <v>28625</v>
      </c>
      <c r="B984" t="s">
        <v>37</v>
      </c>
      <c r="C984" t="s">
        <v>40</v>
      </c>
      <c r="D984" s="3">
        <v>40000</v>
      </c>
      <c r="E984">
        <v>2</v>
      </c>
      <c r="F984" t="s">
        <v>19</v>
      </c>
      <c r="G984" t="s">
        <v>20</v>
      </c>
      <c r="H984" t="s">
        <v>18</v>
      </c>
      <c r="I984">
        <v>1</v>
      </c>
      <c r="J984" t="s">
        <v>26</v>
      </c>
      <c r="K984" t="s">
        <v>32</v>
      </c>
      <c r="L984">
        <v>47</v>
      </c>
      <c r="M984" t="str">
        <f t="shared" si="15"/>
        <v>Middle Age31-54</v>
      </c>
      <c r="N984" t="s">
        <v>15</v>
      </c>
    </row>
    <row r="985" spans="1:14" x14ac:dyDescent="0.3">
      <c r="A985">
        <v>11269</v>
      </c>
      <c r="B985" t="s">
        <v>36</v>
      </c>
      <c r="C985" t="s">
        <v>40</v>
      </c>
      <c r="D985" s="3">
        <v>130000</v>
      </c>
      <c r="E985">
        <v>2</v>
      </c>
      <c r="F985" t="s">
        <v>31</v>
      </c>
      <c r="G985" t="s">
        <v>28</v>
      </c>
      <c r="H985" t="s">
        <v>15</v>
      </c>
      <c r="I985">
        <v>2</v>
      </c>
      <c r="J985" t="s">
        <v>16</v>
      </c>
      <c r="K985" t="s">
        <v>32</v>
      </c>
      <c r="L985">
        <v>41</v>
      </c>
      <c r="M985" t="str">
        <f t="shared" si="15"/>
        <v>Middle Age31-54</v>
      </c>
      <c r="N985" t="s">
        <v>18</v>
      </c>
    </row>
    <row r="986" spans="1:14" x14ac:dyDescent="0.3">
      <c r="A986">
        <v>25148</v>
      </c>
      <c r="B986" t="s">
        <v>36</v>
      </c>
      <c r="C986" t="s">
        <v>40</v>
      </c>
      <c r="D986" s="3">
        <v>60000</v>
      </c>
      <c r="E986">
        <v>2</v>
      </c>
      <c r="F986" t="s">
        <v>27</v>
      </c>
      <c r="G986" t="s">
        <v>21</v>
      </c>
      <c r="H986" t="s">
        <v>18</v>
      </c>
      <c r="I986">
        <v>2</v>
      </c>
      <c r="J986" t="s">
        <v>26</v>
      </c>
      <c r="K986" t="s">
        <v>32</v>
      </c>
      <c r="L986">
        <v>48</v>
      </c>
      <c r="M986" t="str">
        <f t="shared" si="15"/>
        <v>Middle Age31-54</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Age31-54</v>
      </c>
      <c r="N987" t="s">
        <v>18</v>
      </c>
    </row>
    <row r="988" spans="1:14" x14ac:dyDescent="0.3">
      <c r="A988">
        <v>23704</v>
      </c>
      <c r="B988" t="s">
        <v>37</v>
      </c>
      <c r="C988" t="s">
        <v>40</v>
      </c>
      <c r="D988" s="3">
        <v>40000</v>
      </c>
      <c r="E988">
        <v>5</v>
      </c>
      <c r="F988" t="s">
        <v>27</v>
      </c>
      <c r="G988" t="s">
        <v>21</v>
      </c>
      <c r="H988" t="s">
        <v>15</v>
      </c>
      <c r="I988">
        <v>4</v>
      </c>
      <c r="J988" t="s">
        <v>44</v>
      </c>
      <c r="K988" t="s">
        <v>32</v>
      </c>
      <c r="L988">
        <v>60</v>
      </c>
      <c r="M988" t="str">
        <f t="shared" si="15"/>
        <v>Old 55+</v>
      </c>
      <c r="N988" t="s">
        <v>15</v>
      </c>
    </row>
    <row r="989" spans="1:14" x14ac:dyDescent="0.3">
      <c r="A989">
        <v>28972</v>
      </c>
      <c r="B989" t="s">
        <v>37</v>
      </c>
      <c r="C989" t="s">
        <v>39</v>
      </c>
      <c r="D989" s="3">
        <v>60000</v>
      </c>
      <c r="E989">
        <v>3</v>
      </c>
      <c r="F989" t="s">
        <v>31</v>
      </c>
      <c r="G989" t="s">
        <v>28</v>
      </c>
      <c r="H989" t="s">
        <v>15</v>
      </c>
      <c r="I989">
        <v>2</v>
      </c>
      <c r="J989" t="s">
        <v>44</v>
      </c>
      <c r="K989" t="s">
        <v>32</v>
      </c>
      <c r="L989">
        <v>66</v>
      </c>
      <c r="M989" t="str">
        <f t="shared" si="15"/>
        <v>Old 55+</v>
      </c>
      <c r="N989" t="s">
        <v>18</v>
      </c>
    </row>
    <row r="990" spans="1:14" x14ac:dyDescent="0.3">
      <c r="A990">
        <v>22730</v>
      </c>
      <c r="B990" t="s">
        <v>36</v>
      </c>
      <c r="C990" t="s">
        <v>40</v>
      </c>
      <c r="D990" s="3">
        <v>70000</v>
      </c>
      <c r="E990">
        <v>5</v>
      </c>
      <c r="F990" t="s">
        <v>13</v>
      </c>
      <c r="G990" t="s">
        <v>28</v>
      </c>
      <c r="H990" t="s">
        <v>15</v>
      </c>
      <c r="I990">
        <v>2</v>
      </c>
      <c r="J990" t="s">
        <v>44</v>
      </c>
      <c r="K990" t="s">
        <v>32</v>
      </c>
      <c r="L990">
        <v>63</v>
      </c>
      <c r="M990" t="str">
        <f t="shared" si="15"/>
        <v>Old 55+</v>
      </c>
      <c r="N990" t="s">
        <v>18</v>
      </c>
    </row>
    <row r="991" spans="1:14" x14ac:dyDescent="0.3">
      <c r="A991">
        <v>29134</v>
      </c>
      <c r="B991" t="s">
        <v>36</v>
      </c>
      <c r="C991" t="s">
        <v>40</v>
      </c>
      <c r="D991" s="3">
        <v>60000</v>
      </c>
      <c r="E991">
        <v>4</v>
      </c>
      <c r="F991" t="s">
        <v>13</v>
      </c>
      <c r="G991" t="s">
        <v>14</v>
      </c>
      <c r="H991" t="s">
        <v>18</v>
      </c>
      <c r="I991">
        <v>3</v>
      </c>
      <c r="J991" t="s">
        <v>44</v>
      </c>
      <c r="K991" t="s">
        <v>32</v>
      </c>
      <c r="L991">
        <v>42</v>
      </c>
      <c r="M991" t="str">
        <f t="shared" si="15"/>
        <v>Middle Age31-54</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Adolescent0-30</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Age31-54</v>
      </c>
      <c r="N993" t="s">
        <v>15</v>
      </c>
    </row>
    <row r="994" spans="1:14" x14ac:dyDescent="0.3">
      <c r="A994">
        <v>22864</v>
      </c>
      <c r="B994" t="s">
        <v>36</v>
      </c>
      <c r="C994" t="s">
        <v>40</v>
      </c>
      <c r="D994" s="3">
        <v>90000</v>
      </c>
      <c r="E994">
        <v>2</v>
      </c>
      <c r="F994" t="s">
        <v>19</v>
      </c>
      <c r="G994" t="s">
        <v>21</v>
      </c>
      <c r="H994" t="s">
        <v>18</v>
      </c>
      <c r="I994">
        <v>0</v>
      </c>
      <c r="J994" t="s">
        <v>23</v>
      </c>
      <c r="K994" t="s">
        <v>32</v>
      </c>
      <c r="L994">
        <v>49</v>
      </c>
      <c r="M994" t="str">
        <f t="shared" si="15"/>
        <v>Middle Age31-54</v>
      </c>
      <c r="N994" t="s">
        <v>15</v>
      </c>
    </row>
    <row r="995" spans="1:14" x14ac:dyDescent="0.3">
      <c r="A995">
        <v>11292</v>
      </c>
      <c r="B995" t="s">
        <v>37</v>
      </c>
      <c r="C995" t="s">
        <v>40</v>
      </c>
      <c r="D995" s="3">
        <v>150000</v>
      </c>
      <c r="E995">
        <v>1</v>
      </c>
      <c r="F995" t="s">
        <v>19</v>
      </c>
      <c r="G995" t="s">
        <v>21</v>
      </c>
      <c r="H995" t="s">
        <v>18</v>
      </c>
      <c r="I995">
        <v>3</v>
      </c>
      <c r="J995" t="s">
        <v>16</v>
      </c>
      <c r="K995" t="s">
        <v>32</v>
      </c>
      <c r="L995">
        <v>44</v>
      </c>
      <c r="M995" t="str">
        <f t="shared" si="15"/>
        <v>Middle Age31-54</v>
      </c>
      <c r="N995" t="s">
        <v>15</v>
      </c>
    </row>
    <row r="996" spans="1:14" x14ac:dyDescent="0.3">
      <c r="A996">
        <v>13466</v>
      </c>
      <c r="B996" t="s">
        <v>36</v>
      </c>
      <c r="C996" t="s">
        <v>40</v>
      </c>
      <c r="D996" s="3">
        <v>80000</v>
      </c>
      <c r="E996">
        <v>5</v>
      </c>
      <c r="F996" t="s">
        <v>19</v>
      </c>
      <c r="G996" t="s">
        <v>21</v>
      </c>
      <c r="H996" t="s">
        <v>15</v>
      </c>
      <c r="I996">
        <v>3</v>
      </c>
      <c r="J996" t="s">
        <v>26</v>
      </c>
      <c r="K996" t="s">
        <v>32</v>
      </c>
      <c r="L996">
        <v>46</v>
      </c>
      <c r="M996" t="str">
        <f t="shared" si="15"/>
        <v>Middle Age31-54</v>
      </c>
      <c r="N996" t="s">
        <v>18</v>
      </c>
    </row>
    <row r="997" spans="1:14" x14ac:dyDescent="0.3">
      <c r="A997">
        <v>23731</v>
      </c>
      <c r="B997" t="s">
        <v>36</v>
      </c>
      <c r="C997" t="s">
        <v>40</v>
      </c>
      <c r="D997" s="3">
        <v>60000</v>
      </c>
      <c r="E997" s="2">
        <v>2</v>
      </c>
      <c r="F997" t="s">
        <v>27</v>
      </c>
      <c r="G997" t="s">
        <v>21</v>
      </c>
      <c r="H997" t="s">
        <v>15</v>
      </c>
      <c r="I997">
        <v>2</v>
      </c>
      <c r="J997" t="s">
        <v>22</v>
      </c>
      <c r="K997" t="s">
        <v>32</v>
      </c>
      <c r="L997">
        <v>54</v>
      </c>
      <c r="M997" t="str">
        <f t="shared" si="15"/>
        <v>Middle Age31-54</v>
      </c>
      <c r="N997" t="s">
        <v>15</v>
      </c>
    </row>
    <row r="998" spans="1:14" x14ac:dyDescent="0.3">
      <c r="A998">
        <v>28672</v>
      </c>
      <c r="B998" t="s">
        <v>37</v>
      </c>
      <c r="C998" t="s">
        <v>40</v>
      </c>
      <c r="D998" s="3">
        <v>70000</v>
      </c>
      <c r="E998">
        <v>4</v>
      </c>
      <c r="F998" t="s">
        <v>31</v>
      </c>
      <c r="G998" t="s">
        <v>21</v>
      </c>
      <c r="H998" t="s">
        <v>15</v>
      </c>
      <c r="I998">
        <v>0</v>
      </c>
      <c r="J998" t="s">
        <v>22</v>
      </c>
      <c r="K998" t="s">
        <v>32</v>
      </c>
      <c r="L998">
        <v>35</v>
      </c>
      <c r="M998" t="str">
        <f t="shared" si="15"/>
        <v>Middle Age31-54</v>
      </c>
      <c r="N998" t="s">
        <v>15</v>
      </c>
    </row>
    <row r="999" spans="1:14" x14ac:dyDescent="0.3">
      <c r="A999">
        <v>11809</v>
      </c>
      <c r="B999" t="s">
        <v>36</v>
      </c>
      <c r="C999" t="s">
        <v>40</v>
      </c>
      <c r="D999" s="3">
        <v>60000</v>
      </c>
      <c r="E999">
        <v>2</v>
      </c>
      <c r="F999" t="s">
        <v>13</v>
      </c>
      <c r="G999" t="s">
        <v>14</v>
      </c>
      <c r="H999" t="s">
        <v>15</v>
      </c>
      <c r="I999">
        <v>0</v>
      </c>
      <c r="J999" t="s">
        <v>16</v>
      </c>
      <c r="K999" t="s">
        <v>32</v>
      </c>
      <c r="L999">
        <v>38</v>
      </c>
      <c r="M999" t="str">
        <f t="shared" si="15"/>
        <v>Middle Age31-54</v>
      </c>
      <c r="N999" t="s">
        <v>15</v>
      </c>
    </row>
    <row r="1000" spans="1:14" x14ac:dyDescent="0.3">
      <c r="A1000">
        <v>19664</v>
      </c>
      <c r="B1000" t="s">
        <v>37</v>
      </c>
      <c r="C1000" t="s">
        <v>40</v>
      </c>
      <c r="D1000" s="3">
        <v>100000</v>
      </c>
      <c r="E1000">
        <v>3</v>
      </c>
      <c r="F1000" t="s">
        <v>13</v>
      </c>
      <c r="G1000" t="s">
        <v>28</v>
      </c>
      <c r="H1000" t="s">
        <v>18</v>
      </c>
      <c r="I1000">
        <v>3</v>
      </c>
      <c r="J1000" t="s">
        <v>26</v>
      </c>
      <c r="K1000" t="s">
        <v>32</v>
      </c>
      <c r="L1000">
        <v>38</v>
      </c>
      <c r="M1000" t="str">
        <f t="shared" si="15"/>
        <v>Middle Age31-54</v>
      </c>
      <c r="N1000" t="s">
        <v>18</v>
      </c>
    </row>
    <row r="1001" spans="1:14" x14ac:dyDescent="0.3">
      <c r="A1001">
        <v>12121</v>
      </c>
      <c r="B1001" t="s">
        <v>37</v>
      </c>
      <c r="C1001" t="s">
        <v>40</v>
      </c>
      <c r="D1001" s="3">
        <v>60000</v>
      </c>
      <c r="E1001">
        <v>3</v>
      </c>
      <c r="F1001" t="s">
        <v>27</v>
      </c>
      <c r="G1001" t="s">
        <v>21</v>
      </c>
      <c r="H1001" t="s">
        <v>15</v>
      </c>
      <c r="I1001">
        <v>2</v>
      </c>
      <c r="J1001" t="s">
        <v>44</v>
      </c>
      <c r="K1001" t="s">
        <v>32</v>
      </c>
      <c r="L1001">
        <v>53</v>
      </c>
      <c r="M1001" t="str">
        <f t="shared" si="15"/>
        <v>Middle Age31-54</v>
      </c>
      <c r="N1001" t="s">
        <v>15</v>
      </c>
    </row>
    <row r="1002" spans="1:14" x14ac:dyDescent="0.3">
      <c r="A1002">
        <v>13507</v>
      </c>
      <c r="B1002" t="s">
        <v>36</v>
      </c>
      <c r="C1002" t="s">
        <v>39</v>
      </c>
      <c r="D1002" s="3">
        <v>10000</v>
      </c>
      <c r="E1002">
        <v>2</v>
      </c>
      <c r="F1002" t="s">
        <v>19</v>
      </c>
      <c r="G1002" t="s">
        <v>25</v>
      </c>
      <c r="H1002" t="s">
        <v>15</v>
      </c>
      <c r="I1002">
        <v>0</v>
      </c>
      <c r="J1002" t="s">
        <v>26</v>
      </c>
      <c r="K1002" t="s">
        <v>17</v>
      </c>
      <c r="L1002">
        <v>50</v>
      </c>
      <c r="M1002" t="str">
        <f t="shared" si="15"/>
        <v>Middle Age31-54</v>
      </c>
      <c r="N1002" t="s">
        <v>18</v>
      </c>
    </row>
    <row r="1003" spans="1:14" x14ac:dyDescent="0.3">
      <c r="A1003">
        <v>19280</v>
      </c>
      <c r="B1003" t="s">
        <v>36</v>
      </c>
      <c r="C1003" t="s">
        <v>40</v>
      </c>
      <c r="D1003" s="3">
        <v>120000</v>
      </c>
      <c r="E1003">
        <v>2</v>
      </c>
      <c r="F1003" t="s">
        <v>19</v>
      </c>
      <c r="G1003" t="s">
        <v>25</v>
      </c>
      <c r="H1003" t="s">
        <v>15</v>
      </c>
      <c r="I1003">
        <v>1</v>
      </c>
      <c r="J1003" t="s">
        <v>16</v>
      </c>
      <c r="K1003" t="s">
        <v>17</v>
      </c>
      <c r="L1003">
        <v>40</v>
      </c>
      <c r="M1003" t="str">
        <f t="shared" si="15"/>
        <v>Middle Age31-54</v>
      </c>
      <c r="N1003" t="s">
        <v>15</v>
      </c>
    </row>
    <row r="1004" spans="1:14" x14ac:dyDescent="0.3">
      <c r="A1004">
        <v>22173</v>
      </c>
      <c r="B1004" t="s">
        <v>36</v>
      </c>
      <c r="C1004" t="s">
        <v>39</v>
      </c>
      <c r="D1004" s="3">
        <v>30000</v>
      </c>
      <c r="E1004">
        <v>3</v>
      </c>
      <c r="F1004" t="s">
        <v>27</v>
      </c>
      <c r="G1004" t="s">
        <v>14</v>
      </c>
      <c r="H1004" t="s">
        <v>18</v>
      </c>
      <c r="I1004">
        <v>2</v>
      </c>
      <c r="J1004" t="s">
        <v>26</v>
      </c>
      <c r="K1004" t="s">
        <v>24</v>
      </c>
      <c r="L1004">
        <v>54</v>
      </c>
      <c r="M1004" t="str">
        <f t="shared" si="15"/>
        <v>Middle Age31-54</v>
      </c>
      <c r="N1004" t="s">
        <v>15</v>
      </c>
    </row>
    <row r="1005" spans="1:14" x14ac:dyDescent="0.3">
      <c r="A1005">
        <v>12697</v>
      </c>
      <c r="B1005" t="s">
        <v>37</v>
      </c>
      <c r="C1005" t="s">
        <v>39</v>
      </c>
      <c r="D1005" s="3">
        <v>90000</v>
      </c>
      <c r="E1005">
        <v>0</v>
      </c>
      <c r="F1005" t="s">
        <v>13</v>
      </c>
      <c r="G1005" t="s">
        <v>21</v>
      </c>
      <c r="H1005" t="s">
        <v>18</v>
      </c>
      <c r="I1005">
        <v>4</v>
      </c>
      <c r="J1005" t="s">
        <v>44</v>
      </c>
      <c r="K1005" t="s">
        <v>24</v>
      </c>
      <c r="L1005">
        <v>36</v>
      </c>
      <c r="M1005" t="str">
        <f t="shared" si="15"/>
        <v>Middle Age31-54</v>
      </c>
      <c r="N1005" t="s">
        <v>18</v>
      </c>
    </row>
    <row r="1006" spans="1:14" x14ac:dyDescent="0.3">
      <c r="A1006">
        <v>11434</v>
      </c>
      <c r="B1006" t="s">
        <v>36</v>
      </c>
      <c r="C1006" t="s">
        <v>40</v>
      </c>
      <c r="D1006" s="3">
        <v>170000</v>
      </c>
      <c r="E1006">
        <v>5</v>
      </c>
      <c r="F1006" t="s">
        <v>19</v>
      </c>
      <c r="G1006" t="s">
        <v>21</v>
      </c>
      <c r="H1006" t="s">
        <v>15</v>
      </c>
      <c r="I1006">
        <v>0</v>
      </c>
      <c r="J1006" t="s">
        <v>16</v>
      </c>
      <c r="K1006" t="s">
        <v>17</v>
      </c>
      <c r="L1006">
        <v>55</v>
      </c>
      <c r="M1006" t="str">
        <f t="shared" si="15"/>
        <v>Middle Age31-54</v>
      </c>
      <c r="N1006" t="s">
        <v>18</v>
      </c>
    </row>
    <row r="1007" spans="1:14" x14ac:dyDescent="0.3">
      <c r="A1007">
        <v>25323</v>
      </c>
      <c r="B1007" t="s">
        <v>36</v>
      </c>
      <c r="C1007" t="s">
        <v>40</v>
      </c>
      <c r="D1007" s="3">
        <v>40000</v>
      </c>
      <c r="E1007">
        <v>2</v>
      </c>
      <c r="F1007" t="s">
        <v>19</v>
      </c>
      <c r="G1007" t="s">
        <v>20</v>
      </c>
      <c r="H1007" t="s">
        <v>15</v>
      </c>
      <c r="I1007">
        <v>1</v>
      </c>
      <c r="J1007" t="s">
        <v>26</v>
      </c>
      <c r="K1007" t="s">
        <v>17</v>
      </c>
      <c r="L1007">
        <v>35</v>
      </c>
      <c r="M1007" t="str">
        <f t="shared" si="15"/>
        <v>Middle Age31-54</v>
      </c>
      <c r="N1007" t="s">
        <v>15</v>
      </c>
    </row>
    <row r="1008" spans="1:14" x14ac:dyDescent="0.3">
      <c r="A1008">
        <v>23542</v>
      </c>
      <c r="B1008" t="s">
        <v>37</v>
      </c>
      <c r="C1008" t="s">
        <v>40</v>
      </c>
      <c r="D1008" s="3">
        <v>60000</v>
      </c>
      <c r="E1008">
        <v>1</v>
      </c>
      <c r="F1008" t="s">
        <v>19</v>
      </c>
      <c r="G1008" t="s">
        <v>14</v>
      </c>
      <c r="H1008" t="s">
        <v>18</v>
      </c>
      <c r="I1008">
        <v>1</v>
      </c>
      <c r="J1008" t="s">
        <v>16</v>
      </c>
      <c r="K1008" t="s">
        <v>24</v>
      </c>
      <c r="L1008">
        <v>45</v>
      </c>
      <c r="M1008" t="str">
        <f t="shared" si="15"/>
        <v>Middle Age31-54</v>
      </c>
      <c r="N1008" t="s">
        <v>15</v>
      </c>
    </row>
    <row r="1009" spans="1:14" x14ac:dyDescent="0.3">
      <c r="A1009">
        <v>20870</v>
      </c>
      <c r="B1009" t="s">
        <v>37</v>
      </c>
      <c r="C1009" t="s">
        <v>39</v>
      </c>
      <c r="D1009" s="3">
        <v>10000</v>
      </c>
      <c r="E1009">
        <v>2</v>
      </c>
      <c r="F1009" t="s">
        <v>27</v>
      </c>
      <c r="G1009" t="s">
        <v>25</v>
      </c>
      <c r="H1009" t="s">
        <v>15</v>
      </c>
      <c r="I1009">
        <v>1</v>
      </c>
      <c r="J1009" t="s">
        <v>16</v>
      </c>
      <c r="K1009" t="s">
        <v>17</v>
      </c>
      <c r="L1009">
        <v>38</v>
      </c>
      <c r="M1009" t="str">
        <f t="shared" si="15"/>
        <v>Middle Age31-54</v>
      </c>
      <c r="N1009" t="s">
        <v>15</v>
      </c>
    </row>
    <row r="1010" spans="1:14" x14ac:dyDescent="0.3">
      <c r="A1010">
        <v>23316</v>
      </c>
      <c r="B1010" t="s">
        <v>37</v>
      </c>
      <c r="C1010" t="s">
        <v>40</v>
      </c>
      <c r="D1010" s="3">
        <v>30000</v>
      </c>
      <c r="E1010">
        <v>3</v>
      </c>
      <c r="F1010" t="s">
        <v>19</v>
      </c>
      <c r="G1010" t="s">
        <v>20</v>
      </c>
      <c r="H1010" t="s">
        <v>18</v>
      </c>
      <c r="I1010">
        <v>2</v>
      </c>
      <c r="J1010" t="s">
        <v>26</v>
      </c>
      <c r="K1010" t="s">
        <v>24</v>
      </c>
      <c r="L1010">
        <v>59</v>
      </c>
      <c r="M1010" t="str">
        <f t="shared" si="15"/>
        <v>Old 55+</v>
      </c>
      <c r="N1010" t="s">
        <v>15</v>
      </c>
    </row>
    <row r="1011" spans="1:14" x14ac:dyDescent="0.3">
      <c r="A1011">
        <v>12610</v>
      </c>
      <c r="B1011" t="s">
        <v>36</v>
      </c>
      <c r="C1011" t="s">
        <v>39</v>
      </c>
      <c r="D1011" s="3">
        <v>30000</v>
      </c>
      <c r="E1011">
        <v>1</v>
      </c>
      <c r="F1011" t="s">
        <v>13</v>
      </c>
      <c r="G1011" t="s">
        <v>20</v>
      </c>
      <c r="H1011" t="s">
        <v>15</v>
      </c>
      <c r="I1011">
        <v>0</v>
      </c>
      <c r="J1011" t="s">
        <v>16</v>
      </c>
      <c r="K1011" t="s">
        <v>17</v>
      </c>
      <c r="L1011">
        <v>47</v>
      </c>
      <c r="M1011" t="str">
        <f t="shared" si="15"/>
        <v>Middle Age31-54</v>
      </c>
      <c r="N1011" t="s">
        <v>18</v>
      </c>
    </row>
    <row r="1012" spans="1:14" x14ac:dyDescent="0.3">
      <c r="A1012">
        <v>27183</v>
      </c>
      <c r="B1012" t="s">
        <v>37</v>
      </c>
      <c r="C1012" t="s">
        <v>40</v>
      </c>
      <c r="D1012" s="3">
        <v>40000</v>
      </c>
      <c r="E1012">
        <v>2</v>
      </c>
      <c r="F1012" t="s">
        <v>19</v>
      </c>
      <c r="G1012" t="s">
        <v>20</v>
      </c>
      <c r="H1012" t="s">
        <v>15</v>
      </c>
      <c r="I1012">
        <v>1</v>
      </c>
      <c r="J1012" t="s">
        <v>26</v>
      </c>
      <c r="K1012" t="s">
        <v>17</v>
      </c>
      <c r="L1012">
        <v>35</v>
      </c>
      <c r="M1012" t="str">
        <f t="shared" si="15"/>
        <v>Middle Age31-54</v>
      </c>
      <c r="N1012" t="s">
        <v>15</v>
      </c>
    </row>
    <row r="1013" spans="1:14" x14ac:dyDescent="0.3">
      <c r="A1013">
        <v>25940</v>
      </c>
      <c r="B1013" t="s">
        <v>37</v>
      </c>
      <c r="C1013" t="s">
        <v>40</v>
      </c>
      <c r="D1013" s="3">
        <v>20000</v>
      </c>
      <c r="E1013">
        <v>2</v>
      </c>
      <c r="F1013" t="s">
        <v>29</v>
      </c>
      <c r="G1013" t="s">
        <v>20</v>
      </c>
      <c r="H1013" t="s">
        <v>15</v>
      </c>
      <c r="I1013">
        <v>2</v>
      </c>
      <c r="J1013" t="s">
        <v>23</v>
      </c>
      <c r="K1013" t="s">
        <v>24</v>
      </c>
      <c r="L1013">
        <v>55</v>
      </c>
      <c r="M1013" t="str">
        <f t="shared" si="15"/>
        <v>Middle Age31-54</v>
      </c>
      <c r="N1013" t="s">
        <v>15</v>
      </c>
    </row>
    <row r="1014" spans="1:14" x14ac:dyDescent="0.3">
      <c r="A1014">
        <v>25598</v>
      </c>
      <c r="B1014" t="s">
        <v>36</v>
      </c>
      <c r="C1014" t="s">
        <v>39</v>
      </c>
      <c r="D1014" s="3">
        <v>40000</v>
      </c>
      <c r="E1014">
        <v>0</v>
      </c>
      <c r="F1014" t="s">
        <v>31</v>
      </c>
      <c r="G1014" t="s">
        <v>20</v>
      </c>
      <c r="H1014" t="s">
        <v>15</v>
      </c>
      <c r="I1014">
        <v>0</v>
      </c>
      <c r="J1014" t="s">
        <v>16</v>
      </c>
      <c r="K1014" t="s">
        <v>17</v>
      </c>
      <c r="L1014">
        <v>36</v>
      </c>
      <c r="M1014" t="str">
        <f t="shared" si="15"/>
        <v>Middle Age31-54</v>
      </c>
      <c r="N1014" t="s">
        <v>15</v>
      </c>
    </row>
    <row r="1015" spans="1:14" x14ac:dyDescent="0.3">
      <c r="A1015">
        <v>21564</v>
      </c>
      <c r="B1015" t="s">
        <v>37</v>
      </c>
      <c r="C1015" t="s">
        <v>39</v>
      </c>
      <c r="D1015" s="3">
        <v>80000</v>
      </c>
      <c r="E1015">
        <v>0</v>
      </c>
      <c r="F1015" t="s">
        <v>13</v>
      </c>
      <c r="G1015" t="s">
        <v>21</v>
      </c>
      <c r="H1015" t="s">
        <v>15</v>
      </c>
      <c r="I1015">
        <v>4</v>
      </c>
      <c r="J1015" t="s">
        <v>44</v>
      </c>
      <c r="K1015" t="s">
        <v>24</v>
      </c>
      <c r="L1015">
        <v>35</v>
      </c>
      <c r="M1015" t="str">
        <f t="shared" si="15"/>
        <v>Middle Age31-54</v>
      </c>
      <c r="N1015" t="s">
        <v>18</v>
      </c>
    </row>
    <row r="1016" spans="1:14" x14ac:dyDescent="0.3">
      <c r="A1016">
        <v>19193</v>
      </c>
      <c r="B1016" t="s">
        <v>37</v>
      </c>
      <c r="C1016" t="s">
        <v>40</v>
      </c>
      <c r="D1016" s="3">
        <v>40000</v>
      </c>
      <c r="E1016">
        <v>2</v>
      </c>
      <c r="F1016" t="s">
        <v>19</v>
      </c>
      <c r="G1016" t="s">
        <v>20</v>
      </c>
      <c r="H1016" t="s">
        <v>15</v>
      </c>
      <c r="I1016">
        <v>0</v>
      </c>
      <c r="J1016" t="s">
        <v>26</v>
      </c>
      <c r="K1016" t="s">
        <v>17</v>
      </c>
      <c r="L1016">
        <v>35</v>
      </c>
      <c r="M1016" t="str">
        <f t="shared" si="15"/>
        <v>Middle Age31-54</v>
      </c>
      <c r="N1016" t="s">
        <v>15</v>
      </c>
    </row>
    <row r="1017" spans="1:14" x14ac:dyDescent="0.3">
      <c r="A1017">
        <v>26412</v>
      </c>
      <c r="B1017" t="s">
        <v>36</v>
      </c>
      <c r="C1017" t="s">
        <v>39</v>
      </c>
      <c r="D1017" s="3">
        <v>80000</v>
      </c>
      <c r="E1017">
        <v>5</v>
      </c>
      <c r="F1017" t="s">
        <v>27</v>
      </c>
      <c r="G1017" t="s">
        <v>28</v>
      </c>
      <c r="H1017" t="s">
        <v>18</v>
      </c>
      <c r="I1017">
        <v>3</v>
      </c>
      <c r="J1017" t="s">
        <v>23</v>
      </c>
      <c r="K1017" t="s">
        <v>17</v>
      </c>
      <c r="L1017">
        <v>56</v>
      </c>
      <c r="M1017" t="str">
        <f t="shared" si="15"/>
        <v>Old 55+</v>
      </c>
      <c r="N1017" t="s">
        <v>18</v>
      </c>
    </row>
    <row r="1018" spans="1:14" x14ac:dyDescent="0.3">
      <c r="A1018">
        <v>27184</v>
      </c>
      <c r="B1018" t="s">
        <v>37</v>
      </c>
      <c r="C1018" t="s">
        <v>40</v>
      </c>
      <c r="D1018" s="3">
        <v>40000</v>
      </c>
      <c r="E1018">
        <v>2</v>
      </c>
      <c r="F1018" t="s">
        <v>19</v>
      </c>
      <c r="G1018" t="s">
        <v>20</v>
      </c>
      <c r="H1018" t="s">
        <v>18</v>
      </c>
      <c r="I1018">
        <v>1</v>
      </c>
      <c r="J1018" t="s">
        <v>16</v>
      </c>
      <c r="K1018" t="s">
        <v>17</v>
      </c>
      <c r="L1018">
        <v>34</v>
      </c>
      <c r="M1018" t="str">
        <f t="shared" si="15"/>
        <v>Middle Age31-54</v>
      </c>
      <c r="N1018" t="s">
        <v>18</v>
      </c>
    </row>
    <row r="1019" spans="1:14" x14ac:dyDescent="0.3">
      <c r="A1019">
        <v>12590</v>
      </c>
      <c r="B1019" t="s">
        <v>37</v>
      </c>
      <c r="C1019" t="s">
        <v>40</v>
      </c>
      <c r="D1019" s="3">
        <v>30000</v>
      </c>
      <c r="E1019">
        <v>1</v>
      </c>
      <c r="F1019" t="s">
        <v>13</v>
      </c>
      <c r="G1019" t="s">
        <v>20</v>
      </c>
      <c r="H1019" t="s">
        <v>15</v>
      </c>
      <c r="I1019">
        <v>0</v>
      </c>
      <c r="J1019" t="s">
        <v>16</v>
      </c>
      <c r="K1019" t="s">
        <v>17</v>
      </c>
      <c r="L1019">
        <v>63</v>
      </c>
      <c r="M1019" t="str">
        <f t="shared" si="15"/>
        <v>Old 55+</v>
      </c>
      <c r="N1019" t="s">
        <v>18</v>
      </c>
    </row>
    <row r="1020" spans="1:14" x14ac:dyDescent="0.3">
      <c r="A1020">
        <v>17841</v>
      </c>
      <c r="B1020" t="s">
        <v>37</v>
      </c>
      <c r="C1020" t="s">
        <v>40</v>
      </c>
      <c r="D1020" s="3">
        <v>30000</v>
      </c>
      <c r="E1020">
        <v>0</v>
      </c>
      <c r="F1020" t="s">
        <v>19</v>
      </c>
      <c r="G1020" t="s">
        <v>20</v>
      </c>
      <c r="H1020" t="s">
        <v>18</v>
      </c>
      <c r="I1020">
        <v>1</v>
      </c>
      <c r="J1020" t="s">
        <v>16</v>
      </c>
      <c r="K1020" t="s">
        <v>17</v>
      </c>
      <c r="L1020">
        <v>29</v>
      </c>
      <c r="M1020" t="str">
        <f t="shared" si="15"/>
        <v>Adolescent0-30</v>
      </c>
      <c r="N1020" t="s">
        <v>15</v>
      </c>
    </row>
    <row r="1021" spans="1:14" x14ac:dyDescent="0.3">
      <c r="A1021">
        <v>18283</v>
      </c>
      <c r="B1021" t="s">
        <v>37</v>
      </c>
      <c r="C1021" t="s">
        <v>39</v>
      </c>
      <c r="D1021" s="3">
        <v>100000</v>
      </c>
      <c r="E1021">
        <v>0</v>
      </c>
      <c r="F1021" t="s">
        <v>13</v>
      </c>
      <c r="G1021" t="s">
        <v>21</v>
      </c>
      <c r="H1021" t="s">
        <v>18</v>
      </c>
      <c r="I1021">
        <v>1</v>
      </c>
      <c r="J1021" t="s">
        <v>23</v>
      </c>
      <c r="K1021" t="s">
        <v>24</v>
      </c>
      <c r="L1021">
        <v>40</v>
      </c>
      <c r="M1021" t="str">
        <f t="shared" si="15"/>
        <v>Middle Age31-54</v>
      </c>
      <c r="N1021" t="s">
        <v>18</v>
      </c>
    </row>
    <row r="1022" spans="1:14" x14ac:dyDescent="0.3">
      <c r="A1022">
        <v>18299</v>
      </c>
      <c r="B1022" t="s">
        <v>36</v>
      </c>
      <c r="C1022" t="s">
        <v>40</v>
      </c>
      <c r="D1022" s="3">
        <v>70000</v>
      </c>
      <c r="E1022">
        <v>5</v>
      </c>
      <c r="F1022" t="s">
        <v>19</v>
      </c>
      <c r="G1022" t="s">
        <v>14</v>
      </c>
      <c r="H1022" t="s">
        <v>15</v>
      </c>
      <c r="I1022">
        <v>2</v>
      </c>
      <c r="J1022" t="s">
        <v>23</v>
      </c>
      <c r="K1022" t="s">
        <v>24</v>
      </c>
      <c r="L1022">
        <v>44</v>
      </c>
      <c r="M1022" t="str">
        <f t="shared" si="15"/>
        <v>Middle Age31-54</v>
      </c>
      <c r="N1022" t="s">
        <v>18</v>
      </c>
    </row>
    <row r="1023" spans="1:14" x14ac:dyDescent="0.3">
      <c r="A1023">
        <v>16466</v>
      </c>
      <c r="B1023" t="s">
        <v>37</v>
      </c>
      <c r="C1023" t="s">
        <v>39</v>
      </c>
      <c r="D1023" s="3">
        <v>20000</v>
      </c>
      <c r="E1023">
        <v>0</v>
      </c>
      <c r="F1023" t="s">
        <v>29</v>
      </c>
      <c r="G1023" t="s">
        <v>25</v>
      </c>
      <c r="H1023" t="s">
        <v>18</v>
      </c>
      <c r="I1023">
        <v>2</v>
      </c>
      <c r="J1023" t="s">
        <v>16</v>
      </c>
      <c r="K1023" t="s">
        <v>17</v>
      </c>
      <c r="L1023">
        <v>32</v>
      </c>
      <c r="M1023" t="str">
        <f t="shared" si="15"/>
        <v>Middle Age31-54</v>
      </c>
      <c r="N1023" t="s">
        <v>15</v>
      </c>
    </row>
    <row r="1024" spans="1:14" x14ac:dyDescent="0.3">
      <c r="A1024">
        <v>19273</v>
      </c>
      <c r="B1024" t="s">
        <v>36</v>
      </c>
      <c r="C1024" t="s">
        <v>39</v>
      </c>
      <c r="D1024" s="3">
        <v>20000</v>
      </c>
      <c r="E1024">
        <v>2</v>
      </c>
      <c r="F1024" t="s">
        <v>19</v>
      </c>
      <c r="G1024" t="s">
        <v>25</v>
      </c>
      <c r="H1024" t="s">
        <v>15</v>
      </c>
      <c r="I1024">
        <v>0</v>
      </c>
      <c r="J1024" t="s">
        <v>16</v>
      </c>
      <c r="K1024" t="s">
        <v>17</v>
      </c>
      <c r="L1024">
        <v>63</v>
      </c>
      <c r="M1024" t="str">
        <f t="shared" si="15"/>
        <v>Old 55+</v>
      </c>
      <c r="N1024" t="s">
        <v>18</v>
      </c>
    </row>
    <row r="1025" spans="1:14" x14ac:dyDescent="0.3">
      <c r="A1025">
        <v>22400</v>
      </c>
      <c r="B1025" t="s">
        <v>36</v>
      </c>
      <c r="C1025" t="s">
        <v>40</v>
      </c>
      <c r="D1025" s="3">
        <v>10000</v>
      </c>
      <c r="E1025">
        <v>0</v>
      </c>
      <c r="F1025" t="s">
        <v>19</v>
      </c>
      <c r="G1025" t="s">
        <v>25</v>
      </c>
      <c r="H1025" t="s">
        <v>18</v>
      </c>
      <c r="I1025">
        <v>1</v>
      </c>
      <c r="J1025" t="s">
        <v>16</v>
      </c>
      <c r="K1025" t="s">
        <v>24</v>
      </c>
      <c r="L1025">
        <v>26</v>
      </c>
      <c r="M1025" t="str">
        <f t="shared" si="15"/>
        <v>Adolescent0-30</v>
      </c>
      <c r="N1025" t="s">
        <v>15</v>
      </c>
    </row>
    <row r="1026" spans="1:14" x14ac:dyDescent="0.3">
      <c r="A1026">
        <v>20942</v>
      </c>
      <c r="B1026" t="s">
        <v>37</v>
      </c>
      <c r="C1026" t="s">
        <v>39</v>
      </c>
      <c r="D1026" s="3">
        <v>20000</v>
      </c>
      <c r="E1026">
        <v>0</v>
      </c>
      <c r="F1026" t="s">
        <v>27</v>
      </c>
      <c r="G1026" t="s">
        <v>25</v>
      </c>
      <c r="H1026" t="s">
        <v>18</v>
      </c>
      <c r="I1026">
        <v>1</v>
      </c>
      <c r="J1026" t="s">
        <v>23</v>
      </c>
      <c r="K1026" t="s">
        <v>17</v>
      </c>
      <c r="L1026">
        <v>31</v>
      </c>
      <c r="M1026" t="str">
        <f t="shared" si="15"/>
        <v>Middle Age31-54</v>
      </c>
      <c r="N1026" t="s">
        <v>18</v>
      </c>
    </row>
    <row r="1027" spans="1:14" x14ac:dyDescent="0.3">
      <c r="A1027">
        <v>18484</v>
      </c>
      <c r="B1027" t="s">
        <v>37</v>
      </c>
      <c r="C1027" t="s">
        <v>40</v>
      </c>
      <c r="D1027" s="3">
        <v>80000</v>
      </c>
      <c r="E1027">
        <v>2</v>
      </c>
      <c r="F1027" t="s">
        <v>27</v>
      </c>
      <c r="G1027" t="s">
        <v>14</v>
      </c>
      <c r="H1027" t="s">
        <v>18</v>
      </c>
      <c r="I1027">
        <v>2</v>
      </c>
      <c r="J1027" t="s">
        <v>26</v>
      </c>
      <c r="K1027" t="s">
        <v>24</v>
      </c>
      <c r="L1027">
        <v>50</v>
      </c>
      <c r="M1027" t="str">
        <f t="shared" ref="M1027" si="16">IF(L1027&gt;55, "Old 55+", IF(L1027&gt;=31, "Middle Age31-54",IF(L1027&lt;31,"Adolescent0-30","Invalid")))</f>
        <v>Middle Age31-54</v>
      </c>
      <c r="N1027" t="s">
        <v>15</v>
      </c>
    </row>
  </sheetData>
  <autoFilter ref="A1:N1027" xr:uid="{0E15749A-3360-4690-8989-882F67E9036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AF1C1-506C-4777-9AE6-93E06A003C97}">
  <dimension ref="B4:E92"/>
  <sheetViews>
    <sheetView topLeftCell="A76" workbookViewId="0">
      <selection activeCell="N71" sqref="N71"/>
    </sheetView>
  </sheetViews>
  <sheetFormatPr defaultRowHeight="14.4" x14ac:dyDescent="0.3"/>
  <cols>
    <col min="2" max="2" width="14.77734375" bestFit="1" customWidth="1"/>
    <col min="3" max="3" width="15.5546875" bestFit="1" customWidth="1"/>
    <col min="4" max="4" width="4" bestFit="1" customWidth="1"/>
    <col min="5" max="5" width="10.77734375" bestFit="1" customWidth="1"/>
  </cols>
  <sheetData>
    <row r="4" spans="2:5" x14ac:dyDescent="0.3">
      <c r="B4" s="4" t="s">
        <v>48</v>
      </c>
      <c r="C4" s="4" t="s">
        <v>43</v>
      </c>
    </row>
    <row r="5" spans="2:5" x14ac:dyDescent="0.3">
      <c r="B5" s="4" t="s">
        <v>41</v>
      </c>
      <c r="C5" t="s">
        <v>18</v>
      </c>
      <c r="D5" t="s">
        <v>15</v>
      </c>
      <c r="E5" t="s">
        <v>42</v>
      </c>
    </row>
    <row r="6" spans="2:5" x14ac:dyDescent="0.3">
      <c r="B6" s="5" t="s">
        <v>47</v>
      </c>
      <c r="C6">
        <v>71</v>
      </c>
      <c r="D6">
        <v>41</v>
      </c>
      <c r="E6">
        <v>112</v>
      </c>
    </row>
    <row r="7" spans="2:5" x14ac:dyDescent="0.3">
      <c r="B7" s="5" t="s">
        <v>45</v>
      </c>
      <c r="C7">
        <v>340</v>
      </c>
      <c r="D7">
        <v>399</v>
      </c>
      <c r="E7">
        <v>739</v>
      </c>
    </row>
    <row r="8" spans="2:5" x14ac:dyDescent="0.3">
      <c r="B8" s="5" t="s">
        <v>46</v>
      </c>
      <c r="C8">
        <v>120</v>
      </c>
      <c r="D8">
        <v>55</v>
      </c>
      <c r="E8">
        <v>175</v>
      </c>
    </row>
    <row r="9" spans="2:5" x14ac:dyDescent="0.3">
      <c r="B9" s="5" t="s">
        <v>42</v>
      </c>
      <c r="C9">
        <v>531</v>
      </c>
      <c r="D9">
        <v>495</v>
      </c>
      <c r="E9">
        <v>1026</v>
      </c>
    </row>
    <row r="25" spans="2:5" x14ac:dyDescent="0.3">
      <c r="B25" s="4" t="s">
        <v>48</v>
      </c>
      <c r="C25" s="4" t="s">
        <v>43</v>
      </c>
    </row>
    <row r="26" spans="2:5" x14ac:dyDescent="0.3">
      <c r="B26" s="4" t="s">
        <v>41</v>
      </c>
      <c r="C26" t="s">
        <v>18</v>
      </c>
      <c r="D26" t="s">
        <v>15</v>
      </c>
      <c r="E26" t="s">
        <v>42</v>
      </c>
    </row>
    <row r="27" spans="2:5" x14ac:dyDescent="0.3">
      <c r="B27" s="5" t="s">
        <v>16</v>
      </c>
      <c r="C27">
        <v>171</v>
      </c>
      <c r="D27">
        <v>207</v>
      </c>
      <c r="E27">
        <v>378</v>
      </c>
    </row>
    <row r="28" spans="2:5" x14ac:dyDescent="0.3">
      <c r="B28" s="5" t="s">
        <v>26</v>
      </c>
      <c r="C28">
        <v>93</v>
      </c>
      <c r="D28">
        <v>83</v>
      </c>
      <c r="E28">
        <v>176</v>
      </c>
    </row>
    <row r="29" spans="2:5" x14ac:dyDescent="0.3">
      <c r="B29" s="5" t="s">
        <v>22</v>
      </c>
      <c r="C29">
        <v>67</v>
      </c>
      <c r="D29">
        <v>95</v>
      </c>
      <c r="E29">
        <v>162</v>
      </c>
    </row>
    <row r="30" spans="2:5" x14ac:dyDescent="0.3">
      <c r="B30" s="5" t="s">
        <v>23</v>
      </c>
      <c r="C30">
        <v>120</v>
      </c>
      <c r="D30">
        <v>77</v>
      </c>
      <c r="E30">
        <v>197</v>
      </c>
    </row>
    <row r="31" spans="2:5" x14ac:dyDescent="0.3">
      <c r="B31" s="5" t="s">
        <v>44</v>
      </c>
      <c r="C31">
        <v>80</v>
      </c>
      <c r="D31">
        <v>33</v>
      </c>
      <c r="E31">
        <v>113</v>
      </c>
    </row>
    <row r="32" spans="2:5" x14ac:dyDescent="0.3">
      <c r="B32" s="5" t="s">
        <v>42</v>
      </c>
      <c r="C32">
        <v>531</v>
      </c>
      <c r="D32">
        <v>495</v>
      </c>
      <c r="E32">
        <v>1026</v>
      </c>
    </row>
    <row r="42" spans="2:3" x14ac:dyDescent="0.3">
      <c r="B42" s="4" t="s">
        <v>41</v>
      </c>
      <c r="C42" t="s">
        <v>50</v>
      </c>
    </row>
    <row r="43" spans="2:3" x14ac:dyDescent="0.3">
      <c r="B43" s="5" t="s">
        <v>20</v>
      </c>
      <c r="C43" s="3">
        <v>31229.946524064169</v>
      </c>
    </row>
    <row r="44" spans="2:3" x14ac:dyDescent="0.3">
      <c r="B44" s="5" t="s">
        <v>28</v>
      </c>
      <c r="C44" s="3">
        <v>86609.19540229885</v>
      </c>
    </row>
    <row r="45" spans="2:3" x14ac:dyDescent="0.3">
      <c r="B45" s="5" t="s">
        <v>25</v>
      </c>
      <c r="C45" s="3">
        <v>17460.317460317459</v>
      </c>
    </row>
    <row r="46" spans="2:3" x14ac:dyDescent="0.3">
      <c r="B46" s="5" t="s">
        <v>21</v>
      </c>
      <c r="C46" s="3">
        <v>75571.428571428565</v>
      </c>
    </row>
    <row r="47" spans="2:3" x14ac:dyDescent="0.3">
      <c r="B47" s="5" t="s">
        <v>14</v>
      </c>
      <c r="C47" s="3">
        <v>51737.451737451738</v>
      </c>
    </row>
    <row r="48" spans="2:3" x14ac:dyDescent="0.3">
      <c r="B48" s="5" t="s">
        <v>42</v>
      </c>
      <c r="C48" s="3">
        <v>56208.576998050681</v>
      </c>
    </row>
    <row r="58" spans="2:3" x14ac:dyDescent="0.3">
      <c r="B58" s="4" t="s">
        <v>41</v>
      </c>
      <c r="C58" t="s">
        <v>48</v>
      </c>
    </row>
    <row r="59" spans="2:3" x14ac:dyDescent="0.3">
      <c r="B59" s="5" t="s">
        <v>36</v>
      </c>
      <c r="C59">
        <v>549</v>
      </c>
    </row>
    <row r="60" spans="2:3" x14ac:dyDescent="0.3">
      <c r="B60" s="5" t="s">
        <v>37</v>
      </c>
      <c r="C60">
        <v>477</v>
      </c>
    </row>
    <row r="61" spans="2:3" x14ac:dyDescent="0.3">
      <c r="B61" s="5" t="s">
        <v>42</v>
      </c>
      <c r="C61">
        <v>1026</v>
      </c>
    </row>
    <row r="71" spans="2:3" x14ac:dyDescent="0.3">
      <c r="B71" s="4" t="s">
        <v>41</v>
      </c>
      <c r="C71" t="s">
        <v>48</v>
      </c>
    </row>
    <row r="72" spans="2:3" x14ac:dyDescent="0.3">
      <c r="B72" s="5" t="s">
        <v>13</v>
      </c>
      <c r="C72">
        <v>311</v>
      </c>
    </row>
    <row r="73" spans="2:3" x14ac:dyDescent="0.3">
      <c r="B73" s="5" t="s">
        <v>31</v>
      </c>
      <c r="C73">
        <v>175</v>
      </c>
    </row>
    <row r="74" spans="2:3" x14ac:dyDescent="0.3">
      <c r="B74" s="5" t="s">
        <v>27</v>
      </c>
      <c r="C74">
        <v>184</v>
      </c>
    </row>
    <row r="75" spans="2:3" x14ac:dyDescent="0.3">
      <c r="B75" s="5" t="s">
        <v>19</v>
      </c>
      <c r="C75">
        <v>278</v>
      </c>
    </row>
    <row r="76" spans="2:3" x14ac:dyDescent="0.3">
      <c r="B76" s="5" t="s">
        <v>29</v>
      </c>
      <c r="C76">
        <v>78</v>
      </c>
    </row>
    <row r="77" spans="2:3" x14ac:dyDescent="0.3">
      <c r="B77" s="5" t="s">
        <v>42</v>
      </c>
      <c r="C77">
        <v>1026</v>
      </c>
    </row>
    <row r="84" spans="2:3" x14ac:dyDescent="0.3">
      <c r="B84" s="4" t="s">
        <v>41</v>
      </c>
      <c r="C84" t="s">
        <v>50</v>
      </c>
    </row>
    <row r="85" spans="2:3" x14ac:dyDescent="0.3">
      <c r="B85" s="5" t="s">
        <v>51</v>
      </c>
      <c r="C85" s="3">
        <v>41822.222222222219</v>
      </c>
    </row>
    <row r="86" spans="2:3" x14ac:dyDescent="0.3">
      <c r="B86" s="5" t="s">
        <v>52</v>
      </c>
      <c r="C86" s="3">
        <v>58387.096774193546</v>
      </c>
    </row>
    <row r="87" spans="2:3" x14ac:dyDescent="0.3">
      <c r="B87" s="5" t="s">
        <v>53</v>
      </c>
      <c r="C87" s="3">
        <v>63094.339622641506</v>
      </c>
    </row>
    <row r="88" spans="2:3" x14ac:dyDescent="0.3">
      <c r="B88" s="5" t="s">
        <v>54</v>
      </c>
      <c r="C88" s="3">
        <v>61985.294117647056</v>
      </c>
    </row>
    <row r="89" spans="2:3" x14ac:dyDescent="0.3">
      <c r="B89" s="5" t="s">
        <v>55</v>
      </c>
      <c r="C89" s="3">
        <v>54545.454545454544</v>
      </c>
    </row>
    <row r="90" spans="2:3" x14ac:dyDescent="0.3">
      <c r="B90" s="5" t="s">
        <v>56</v>
      </c>
      <c r="C90" s="3">
        <v>53333.333333333336</v>
      </c>
    </row>
    <row r="91" spans="2:3" x14ac:dyDescent="0.3">
      <c r="B91" s="5" t="s">
        <v>57</v>
      </c>
      <c r="C91" s="3">
        <v>40000</v>
      </c>
    </row>
    <row r="92" spans="2:3" x14ac:dyDescent="0.3">
      <c r="B92" s="5" t="s">
        <v>42</v>
      </c>
      <c r="C92" s="3">
        <v>56208.576998050681</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69765-8097-460F-875F-0596D9F0B8D9}">
  <dimension ref="A1:W25"/>
  <sheetViews>
    <sheetView showGridLines="0" tabSelected="1" zoomScaleNormal="100" workbookViewId="0">
      <selection activeCell="D22" sqref="D22"/>
    </sheetView>
  </sheetViews>
  <sheetFormatPr defaultRowHeight="14.4" x14ac:dyDescent="0.3"/>
  <sheetData>
    <row r="1" spans="1:23" ht="24" thickBot="1" x14ac:dyDescent="0.5">
      <c r="A1" s="7" t="s">
        <v>49</v>
      </c>
      <c r="B1" s="8"/>
      <c r="C1" s="8"/>
      <c r="D1" s="8"/>
      <c r="E1" s="8"/>
      <c r="F1" s="8"/>
      <c r="G1" s="8"/>
      <c r="H1" s="8"/>
      <c r="I1" s="8"/>
      <c r="J1" s="8"/>
      <c r="K1" s="8"/>
      <c r="L1" s="8"/>
      <c r="M1" s="8"/>
      <c r="N1" s="8"/>
      <c r="O1" s="8"/>
      <c r="P1" s="8"/>
      <c r="Q1" s="8"/>
      <c r="R1" s="8"/>
      <c r="S1" s="8"/>
      <c r="T1" s="8"/>
      <c r="U1" s="8"/>
      <c r="V1" s="8"/>
      <c r="W1" s="9"/>
    </row>
    <row r="2" spans="1:23" x14ac:dyDescent="0.3">
      <c r="A2" s="6"/>
      <c r="B2" s="6"/>
      <c r="C2" s="6"/>
      <c r="D2" s="6"/>
      <c r="E2" s="6"/>
      <c r="F2" s="6"/>
      <c r="G2" s="6"/>
      <c r="H2" s="6"/>
      <c r="I2" s="6"/>
      <c r="J2" s="6"/>
      <c r="K2" s="6"/>
      <c r="L2" s="6"/>
      <c r="M2" s="6"/>
      <c r="N2" s="6"/>
      <c r="O2" s="6"/>
      <c r="P2" s="6"/>
      <c r="Q2" s="6"/>
      <c r="R2" s="6"/>
      <c r="S2" s="6"/>
      <c r="T2" s="6"/>
      <c r="U2" s="6"/>
      <c r="V2" s="6"/>
      <c r="W2" s="6"/>
    </row>
    <row r="3" spans="1:23" x14ac:dyDescent="0.3">
      <c r="A3" s="6"/>
      <c r="B3" s="6"/>
      <c r="C3" s="6"/>
      <c r="D3" s="6"/>
      <c r="E3" s="6"/>
      <c r="F3" s="6"/>
      <c r="G3" s="6"/>
      <c r="H3" s="6"/>
      <c r="I3" s="6"/>
      <c r="J3" s="6"/>
      <c r="K3" s="6"/>
      <c r="L3" s="6"/>
      <c r="M3" s="6"/>
      <c r="N3" s="6"/>
      <c r="O3" s="6"/>
      <c r="P3" s="6"/>
      <c r="Q3" s="6"/>
      <c r="R3" s="6"/>
      <c r="S3" s="6"/>
      <c r="T3" s="6"/>
      <c r="U3" s="6"/>
      <c r="V3" s="6"/>
      <c r="W3" s="6"/>
    </row>
    <row r="4" spans="1:23" x14ac:dyDescent="0.3">
      <c r="A4" s="6"/>
      <c r="B4" s="6"/>
      <c r="C4" s="6"/>
      <c r="D4" s="6"/>
      <c r="E4" s="6"/>
      <c r="F4" s="6"/>
      <c r="G4" s="6"/>
      <c r="H4" s="6"/>
      <c r="I4" s="6"/>
      <c r="J4" s="6"/>
      <c r="K4" s="6"/>
      <c r="L4" s="6"/>
      <c r="M4" s="6"/>
      <c r="N4" s="6"/>
      <c r="O4" s="6"/>
      <c r="P4" s="6"/>
      <c r="Q4" s="6"/>
      <c r="R4" s="6"/>
      <c r="S4" s="6"/>
      <c r="T4" s="6"/>
      <c r="U4" s="6"/>
      <c r="V4" s="6"/>
      <c r="W4" s="6"/>
    </row>
    <row r="5" spans="1:23" x14ac:dyDescent="0.3">
      <c r="A5" s="6"/>
      <c r="B5" s="6"/>
      <c r="C5" s="6"/>
      <c r="D5" s="6"/>
      <c r="E5" s="6"/>
      <c r="F5" s="6"/>
      <c r="G5" s="6"/>
      <c r="H5" s="6"/>
      <c r="I5" s="6"/>
      <c r="J5" s="6"/>
      <c r="K5" s="6"/>
      <c r="L5" s="6"/>
      <c r="M5" s="6"/>
      <c r="N5" s="6"/>
      <c r="O5" s="6"/>
      <c r="P5" s="6"/>
      <c r="Q5" s="6"/>
      <c r="R5" s="6"/>
      <c r="S5" s="6"/>
      <c r="T5" s="6"/>
      <c r="U5" s="6"/>
      <c r="V5" s="6"/>
      <c r="W5" s="6"/>
    </row>
    <row r="6" spans="1:23" x14ac:dyDescent="0.3">
      <c r="A6" s="6"/>
      <c r="B6" s="6"/>
      <c r="C6" s="6"/>
      <c r="D6" s="6"/>
      <c r="E6" s="6"/>
      <c r="F6" s="6"/>
      <c r="G6" s="6"/>
      <c r="H6" s="6"/>
      <c r="I6" s="6"/>
      <c r="J6" s="6"/>
      <c r="K6" s="6"/>
      <c r="L6" s="6"/>
      <c r="M6" s="6"/>
      <c r="N6" s="6"/>
      <c r="O6" s="6"/>
      <c r="P6" s="6"/>
      <c r="Q6" s="6"/>
      <c r="R6" s="6"/>
      <c r="S6" s="6"/>
      <c r="T6" s="6"/>
      <c r="U6" s="6"/>
      <c r="V6" s="6"/>
      <c r="W6" s="6"/>
    </row>
    <row r="7" spans="1:23" x14ac:dyDescent="0.3">
      <c r="A7" s="6"/>
      <c r="B7" s="6"/>
      <c r="C7" s="6"/>
      <c r="D7" s="6"/>
      <c r="E7" s="6"/>
      <c r="F7" s="6"/>
      <c r="G7" s="6"/>
      <c r="H7" s="6"/>
      <c r="I7" s="6"/>
      <c r="J7" s="6"/>
      <c r="K7" s="6"/>
      <c r="L7" s="6"/>
      <c r="M7" s="6"/>
      <c r="N7" s="6"/>
      <c r="O7" s="6"/>
      <c r="P7" s="6"/>
      <c r="Q7" s="6"/>
      <c r="R7" s="6"/>
      <c r="S7" s="6"/>
      <c r="T7" s="6"/>
      <c r="U7" s="6"/>
      <c r="V7" s="6"/>
      <c r="W7" s="6"/>
    </row>
    <row r="8" spans="1:23" x14ac:dyDescent="0.3">
      <c r="A8" s="6"/>
      <c r="B8" s="6"/>
      <c r="C8" s="6"/>
      <c r="D8" s="6"/>
      <c r="E8" s="6"/>
      <c r="F8" s="6"/>
      <c r="G8" s="6"/>
      <c r="H8" s="6"/>
      <c r="I8" s="6"/>
      <c r="J8" s="6"/>
      <c r="K8" s="6"/>
      <c r="L8" s="6"/>
      <c r="M8" s="6"/>
      <c r="N8" s="6"/>
      <c r="O8" s="6"/>
      <c r="P8" s="6"/>
      <c r="Q8" s="6"/>
      <c r="R8" s="6"/>
      <c r="S8" s="6"/>
      <c r="T8" s="6"/>
      <c r="U8" s="6"/>
      <c r="V8" s="6"/>
      <c r="W8" s="6"/>
    </row>
    <row r="9" spans="1:23" x14ac:dyDescent="0.3">
      <c r="A9" s="6"/>
      <c r="B9" s="6"/>
      <c r="C9" s="6"/>
      <c r="D9" s="6"/>
      <c r="E9" s="6"/>
      <c r="F9" s="6"/>
      <c r="G9" s="6"/>
      <c r="H9" s="6"/>
      <c r="I9" s="6"/>
      <c r="J9" s="6"/>
      <c r="K9" s="6"/>
      <c r="L9" s="6"/>
      <c r="M9" s="6"/>
      <c r="N9" s="6"/>
      <c r="O9" s="6"/>
      <c r="P9" s="6"/>
      <c r="Q9" s="6"/>
      <c r="R9" s="6"/>
      <c r="S9" s="6"/>
      <c r="T9" s="6"/>
      <c r="U9" s="6"/>
      <c r="V9" s="6"/>
      <c r="W9" s="6"/>
    </row>
    <row r="10" spans="1:23" x14ac:dyDescent="0.3">
      <c r="A10" s="6"/>
      <c r="B10" s="6"/>
      <c r="C10" s="6"/>
      <c r="D10" s="6"/>
      <c r="E10" s="6"/>
      <c r="F10" s="6"/>
      <c r="G10" s="6"/>
      <c r="H10" s="6"/>
      <c r="I10" s="6"/>
      <c r="J10" s="6"/>
      <c r="K10" s="6"/>
      <c r="L10" s="6"/>
      <c r="M10" s="6"/>
      <c r="N10" s="6"/>
      <c r="O10" s="6"/>
      <c r="P10" s="6"/>
      <c r="Q10" s="6"/>
      <c r="R10" s="6"/>
      <c r="S10" s="6"/>
      <c r="T10" s="6"/>
      <c r="U10" s="6"/>
      <c r="V10" s="6"/>
      <c r="W10" s="6"/>
    </row>
    <row r="11" spans="1:23" x14ac:dyDescent="0.3">
      <c r="A11" s="6"/>
      <c r="B11" s="6"/>
      <c r="C11" s="6"/>
      <c r="D11" s="6"/>
      <c r="E11" s="6"/>
      <c r="F11" s="6"/>
      <c r="G11" s="6"/>
      <c r="H11" s="6"/>
      <c r="I11" s="6"/>
      <c r="J11" s="6"/>
      <c r="K11" s="6"/>
      <c r="L11" s="6"/>
      <c r="M11" s="6"/>
      <c r="N11" s="6"/>
      <c r="O11" s="6"/>
      <c r="P11" s="6"/>
      <c r="Q11" s="6"/>
      <c r="R11" s="6"/>
      <c r="S11" s="6"/>
      <c r="T11" s="6"/>
      <c r="U11" s="6"/>
      <c r="V11" s="6"/>
      <c r="W11" s="6"/>
    </row>
    <row r="12" spans="1:23" x14ac:dyDescent="0.3">
      <c r="A12" s="6"/>
      <c r="B12" s="6"/>
      <c r="C12" s="6"/>
      <c r="D12" s="6"/>
      <c r="E12" s="6"/>
      <c r="F12" s="6"/>
      <c r="G12" s="6"/>
      <c r="H12" s="6"/>
      <c r="I12" s="6"/>
      <c r="J12" s="6"/>
      <c r="K12" s="6"/>
      <c r="L12" s="6"/>
      <c r="M12" s="6"/>
      <c r="N12" s="6"/>
      <c r="O12" s="6"/>
      <c r="P12" s="6"/>
      <c r="Q12" s="6"/>
      <c r="R12" s="6"/>
      <c r="S12" s="6"/>
      <c r="T12" s="6"/>
      <c r="U12" s="6"/>
      <c r="V12" s="6"/>
      <c r="W12" s="6"/>
    </row>
    <row r="13" spans="1:23" x14ac:dyDescent="0.3">
      <c r="A13" s="6"/>
      <c r="B13" s="6"/>
      <c r="C13" s="6"/>
      <c r="D13" s="6"/>
      <c r="E13" s="6"/>
      <c r="F13" s="6"/>
      <c r="G13" s="6"/>
      <c r="H13" s="6"/>
      <c r="I13" s="6"/>
      <c r="J13" s="6"/>
      <c r="K13" s="6"/>
      <c r="L13" s="6"/>
      <c r="M13" s="6"/>
      <c r="N13" s="6"/>
      <c r="O13" s="6"/>
      <c r="P13" s="6"/>
      <c r="Q13" s="6"/>
      <c r="R13" s="6"/>
      <c r="S13" s="6"/>
      <c r="T13" s="6"/>
      <c r="U13" s="6"/>
      <c r="V13" s="6"/>
      <c r="W13" s="6"/>
    </row>
    <row r="14" spans="1:23" x14ac:dyDescent="0.3">
      <c r="A14" s="6"/>
      <c r="B14" s="6"/>
      <c r="C14" s="6"/>
      <c r="D14" s="6"/>
      <c r="E14" s="6"/>
      <c r="F14" s="6"/>
      <c r="G14" s="6"/>
      <c r="H14" s="6"/>
      <c r="I14" s="6"/>
      <c r="J14" s="6"/>
      <c r="K14" s="6"/>
      <c r="L14" s="6"/>
      <c r="M14" s="6"/>
      <c r="N14" s="6"/>
      <c r="O14" s="6"/>
      <c r="P14" s="6"/>
      <c r="Q14" s="6"/>
      <c r="R14" s="6"/>
      <c r="S14" s="6"/>
      <c r="T14" s="6"/>
      <c r="U14" s="6"/>
      <c r="V14" s="6"/>
      <c r="W14" s="6"/>
    </row>
    <row r="15" spans="1:23" x14ac:dyDescent="0.3">
      <c r="A15" s="6"/>
      <c r="B15" s="6"/>
      <c r="C15" s="6"/>
      <c r="D15" s="6"/>
      <c r="E15" s="6"/>
      <c r="F15" s="6"/>
      <c r="G15" s="6"/>
      <c r="H15" s="6"/>
      <c r="I15" s="6"/>
      <c r="J15" s="6"/>
      <c r="K15" s="6"/>
      <c r="L15" s="6"/>
      <c r="M15" s="6"/>
      <c r="N15" s="6"/>
      <c r="O15" s="6"/>
      <c r="P15" s="6"/>
      <c r="Q15" s="6"/>
      <c r="R15" s="6"/>
      <c r="S15" s="6"/>
      <c r="T15" s="6"/>
      <c r="U15" s="6"/>
      <c r="V15" s="6"/>
      <c r="W15" s="6"/>
    </row>
    <row r="16" spans="1:23" x14ac:dyDescent="0.3">
      <c r="A16" s="6"/>
      <c r="B16" s="6"/>
      <c r="C16" s="6"/>
      <c r="D16" s="6"/>
      <c r="E16" s="6"/>
      <c r="F16" s="6"/>
      <c r="G16" s="6"/>
      <c r="H16" s="6"/>
      <c r="I16" s="6"/>
      <c r="J16" s="6"/>
      <c r="K16" s="6"/>
      <c r="L16" s="6"/>
      <c r="M16" s="6"/>
      <c r="N16" s="6"/>
      <c r="O16" s="6"/>
      <c r="P16" s="6"/>
      <c r="Q16" s="6"/>
      <c r="R16" s="6"/>
      <c r="S16" s="6"/>
      <c r="T16" s="6"/>
      <c r="U16" s="6"/>
      <c r="V16" s="6"/>
      <c r="W16" s="6"/>
    </row>
    <row r="17" spans="1:23" x14ac:dyDescent="0.3">
      <c r="A17" s="6"/>
      <c r="B17" s="6"/>
      <c r="C17" s="6"/>
      <c r="D17" s="6"/>
      <c r="E17" s="6"/>
      <c r="F17" s="6"/>
      <c r="G17" s="6"/>
      <c r="H17" s="6"/>
      <c r="I17" s="6"/>
      <c r="J17" s="6"/>
      <c r="K17" s="6"/>
      <c r="L17" s="6"/>
      <c r="M17" s="6"/>
      <c r="N17" s="6"/>
      <c r="O17" s="6"/>
      <c r="P17" s="6"/>
      <c r="Q17" s="6"/>
      <c r="R17" s="6"/>
      <c r="S17" s="6"/>
      <c r="T17" s="6"/>
      <c r="U17" s="6"/>
      <c r="V17" s="6"/>
      <c r="W17" s="6"/>
    </row>
    <row r="18" spans="1:23" x14ac:dyDescent="0.3">
      <c r="A18" s="6"/>
      <c r="B18" s="6"/>
      <c r="C18" s="6"/>
      <c r="D18" s="6"/>
      <c r="E18" s="6"/>
      <c r="F18" s="6"/>
      <c r="G18" s="6"/>
      <c r="H18" s="6"/>
      <c r="I18" s="6"/>
      <c r="J18" s="6"/>
      <c r="K18" s="6"/>
      <c r="L18" s="6"/>
      <c r="M18" s="6"/>
      <c r="N18" s="6"/>
      <c r="O18" s="6"/>
      <c r="P18" s="6"/>
      <c r="Q18" s="6"/>
      <c r="R18" s="6"/>
      <c r="S18" s="6"/>
      <c r="T18" s="6"/>
      <c r="U18" s="6"/>
      <c r="V18" s="6"/>
      <c r="W18" s="6"/>
    </row>
    <row r="19" spans="1:23" x14ac:dyDescent="0.3">
      <c r="A19" s="6"/>
      <c r="B19" s="6"/>
      <c r="C19" s="6"/>
      <c r="D19" s="6"/>
      <c r="E19" s="6"/>
      <c r="F19" s="6"/>
      <c r="G19" s="6"/>
      <c r="H19" s="6"/>
      <c r="I19" s="6"/>
      <c r="J19" s="6"/>
      <c r="K19" s="6"/>
      <c r="L19" s="6"/>
      <c r="M19" s="6"/>
      <c r="N19" s="6"/>
      <c r="O19" s="6"/>
      <c r="P19" s="6"/>
      <c r="Q19" s="6"/>
      <c r="R19" s="6"/>
      <c r="S19" s="6"/>
      <c r="T19" s="6"/>
      <c r="U19" s="6"/>
      <c r="V19" s="6"/>
      <c r="W19" s="6"/>
    </row>
    <row r="20" spans="1:23" x14ac:dyDescent="0.3">
      <c r="A20" s="6"/>
      <c r="B20" s="6"/>
      <c r="C20" s="6"/>
      <c r="D20" s="6"/>
      <c r="E20" s="6"/>
      <c r="F20" s="6"/>
      <c r="G20" s="6"/>
      <c r="H20" s="6"/>
      <c r="I20" s="6"/>
      <c r="J20" s="6"/>
      <c r="K20" s="6"/>
      <c r="L20" s="6"/>
      <c r="M20" s="6"/>
      <c r="N20" s="6"/>
      <c r="O20" s="6"/>
      <c r="P20" s="6"/>
      <c r="Q20" s="6"/>
      <c r="R20" s="6"/>
      <c r="S20" s="6"/>
      <c r="T20" s="6"/>
      <c r="U20" s="6"/>
      <c r="V20" s="6"/>
      <c r="W20" s="6"/>
    </row>
    <row r="21" spans="1:23" x14ac:dyDescent="0.3">
      <c r="A21" s="6"/>
      <c r="B21" s="6"/>
      <c r="C21" s="6"/>
      <c r="D21" s="6"/>
      <c r="E21" s="6"/>
      <c r="F21" s="6"/>
      <c r="G21" s="6"/>
      <c r="H21" s="6"/>
      <c r="I21" s="6"/>
      <c r="J21" s="6"/>
      <c r="K21" s="6"/>
      <c r="L21" s="6"/>
      <c r="M21" s="6"/>
      <c r="N21" s="6"/>
      <c r="O21" s="6"/>
      <c r="P21" s="6"/>
      <c r="Q21" s="6"/>
      <c r="R21" s="6"/>
      <c r="S21" s="6"/>
      <c r="T21" s="6"/>
      <c r="U21" s="6"/>
      <c r="V21" s="6"/>
      <c r="W21" s="6"/>
    </row>
    <row r="22" spans="1:23" x14ac:dyDescent="0.3">
      <c r="A22" s="6"/>
      <c r="B22" s="6"/>
      <c r="C22" s="6"/>
      <c r="D22" s="6"/>
      <c r="E22" s="6"/>
      <c r="F22" s="6"/>
      <c r="G22" s="6"/>
      <c r="H22" s="6"/>
      <c r="I22" s="6"/>
      <c r="J22" s="6"/>
      <c r="K22" s="6"/>
      <c r="L22" s="6"/>
      <c r="M22" s="6"/>
      <c r="N22" s="6"/>
      <c r="O22" s="6"/>
      <c r="P22" s="6"/>
      <c r="Q22" s="6"/>
      <c r="R22" s="6"/>
      <c r="S22" s="6"/>
      <c r="T22" s="6"/>
      <c r="U22" s="6"/>
      <c r="V22" s="6"/>
      <c r="W22" s="6"/>
    </row>
    <row r="23" spans="1:23" x14ac:dyDescent="0.3">
      <c r="A23" s="6"/>
      <c r="B23" s="6"/>
      <c r="C23" s="6"/>
      <c r="D23" s="6"/>
      <c r="E23" s="6"/>
      <c r="F23" s="6"/>
      <c r="G23" s="6"/>
      <c r="H23" s="6"/>
      <c r="I23" s="6"/>
      <c r="J23" s="6"/>
      <c r="K23" s="6"/>
      <c r="L23" s="6"/>
      <c r="M23" s="6"/>
      <c r="N23" s="6"/>
      <c r="O23" s="6"/>
      <c r="P23" s="6"/>
      <c r="Q23" s="6"/>
      <c r="R23" s="6"/>
      <c r="S23" s="6"/>
      <c r="T23" s="6"/>
      <c r="U23" s="6"/>
      <c r="V23" s="6"/>
      <c r="W23" s="6"/>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KUMAR</dc:creator>
  <cp:lastModifiedBy>ANIMESH KUMAR</cp:lastModifiedBy>
  <dcterms:created xsi:type="dcterms:W3CDTF">2022-03-18T02:50:57Z</dcterms:created>
  <dcterms:modified xsi:type="dcterms:W3CDTF">2026-03-08T07:33:36Z</dcterms:modified>
</cp:coreProperties>
</file>